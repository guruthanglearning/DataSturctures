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bookViews>
    <workbookView xWindow="0" yWindow="0" windowWidth="19120" windowHeight="7050" tabRatio="687"/>
  </bookViews>
  <sheets>
    <sheet name="Bank" sheetId="1" r:id="rId1"/>
    <sheet name="Saberi Wedding Expenses" sheetId="23" r:id="rId2"/>
    <sheet name="Credit Card" sheetId="2" r:id="rId3"/>
    <sheet name="DCU" sheetId="21" r:id="rId4"/>
    <sheet name="Citi Bank" sheetId="3" r:id="rId5"/>
    <sheet name="Costco Citi" sheetId="20" r:id="rId6"/>
    <sheet name="Sony" sheetId="5" r:id="rId7"/>
    <sheet name="Indian Land" sheetId="16" r:id="rId8"/>
    <sheet name="Mortgage" sheetId="8" r:id="rId9"/>
    <sheet name="Money To India" sheetId="9" r:id="rId10"/>
    <sheet name="Migration Status AfterGC" sheetId="15" r:id="rId11"/>
  </sheets>
  <definedNames>
    <definedName name="_xlnm._FilterDatabase" localSheetId="2" hidden="1">'Credit Card'!$D$1:$D$142</definedName>
    <definedName name="_xlnm._FilterDatabase" localSheetId="9" hidden="1">'Money To India'!$A$4:$H$4</definedName>
    <definedName name="CCA_details" localSheetId="2">'Credit Card'!$F$20</definedName>
    <definedName name="onh_sign_off" localSheetId="2">'Credit Card'!$I$10</definedName>
  </definedNames>
  <calcPr calcId="162913"/>
</workbook>
</file>

<file path=xl/calcChain.xml><?xml version="1.0" encoding="utf-8"?>
<calcChain xmlns="http://schemas.openxmlformats.org/spreadsheetml/2006/main">
  <c r="Q11" i="1" l="1"/>
  <c r="D4" i="1"/>
  <c r="B94" i="20"/>
  <c r="B122" i="2"/>
  <c r="F43" i="1"/>
  <c r="F42" i="1"/>
  <c r="L53" i="8" l="1"/>
  <c r="B109" i="2"/>
  <c r="D40" i="1"/>
  <c r="D19" i="1"/>
  <c r="H2" i="9" l="1"/>
  <c r="H1" i="9"/>
  <c r="E5" i="3" l="1"/>
  <c r="D110" i="1" l="1"/>
  <c r="Q10" i="1" l="1"/>
  <c r="C95" i="20"/>
  <c r="C106" i="2"/>
  <c r="B104" i="2"/>
  <c r="B53" i="8" l="1"/>
  <c r="B52" i="8"/>
  <c r="D42" i="1"/>
  <c r="C125" i="3"/>
  <c r="F2" i="16" l="1"/>
  <c r="D6" i="16"/>
  <c r="E5" i="16"/>
  <c r="F1" i="16"/>
  <c r="E6" i="16"/>
  <c r="C68" i="2" l="1"/>
  <c r="B7" i="2" l="1"/>
  <c r="B59" i="2"/>
  <c r="Q9" i="1" l="1"/>
  <c r="L52" i="8" l="1"/>
  <c r="C4" i="23" l="1"/>
  <c r="B4" i="23"/>
  <c r="B2" i="23"/>
  <c r="C2" i="23" s="1"/>
  <c r="B3" i="23" l="1"/>
  <c r="C3" i="23"/>
  <c r="L51" i="8" l="1"/>
  <c r="L50" i="8"/>
  <c r="E19" i="1" l="1"/>
  <c r="Q8" i="1" l="1"/>
  <c r="B51" i="8"/>
  <c r="B50" i="8"/>
  <c r="C125" i="21"/>
  <c r="B6" i="2" l="1"/>
  <c r="B39" i="2"/>
  <c r="B38" i="2" s="1"/>
  <c r="B93" i="2"/>
  <c r="B92" i="2" s="1"/>
  <c r="Q7" i="1"/>
  <c r="D65" i="1"/>
  <c r="L49" i="8"/>
  <c r="F41" i="1"/>
  <c r="Q6" i="1"/>
  <c r="B49" i="8"/>
  <c r="C77" i="1"/>
  <c r="L48" i="8"/>
  <c r="B48" i="8"/>
  <c r="B47" i="8"/>
  <c r="Q5" i="1"/>
  <c r="B45" i="8"/>
  <c r="B46" i="8"/>
  <c r="L47" i="8"/>
  <c r="D6" i="15"/>
  <c r="D3" i="15" s="1"/>
  <c r="D7" i="15"/>
  <c r="I7" i="15"/>
  <c r="I6" i="15"/>
  <c r="Q4" i="1"/>
  <c r="B58" i="2"/>
  <c r="G44" i="1"/>
  <c r="L46" i="8"/>
  <c r="C93" i="1"/>
  <c r="L45" i="8"/>
  <c r="I4" i="1"/>
  <c r="C5" i="8"/>
  <c r="B44" i="8"/>
  <c r="D8" i="15"/>
  <c r="L44" i="8"/>
  <c r="G23" i="1"/>
  <c r="B43" i="8"/>
  <c r="L43" i="8"/>
  <c r="B83" i="20"/>
  <c r="B82" i="20" s="1"/>
  <c r="B42" i="8"/>
  <c r="L42" i="8"/>
  <c r="G19" i="1"/>
  <c r="B14" i="8"/>
  <c r="L41" i="8"/>
  <c r="L40" i="8"/>
  <c r="B41" i="8"/>
  <c r="B40" i="8"/>
  <c r="L39" i="8"/>
  <c r="L36" i="8"/>
  <c r="L37" i="8"/>
  <c r="L38" i="8"/>
  <c r="B39" i="8"/>
  <c r="G17" i="1"/>
  <c r="H14" i="8"/>
  <c r="B38" i="8"/>
  <c r="B124" i="21"/>
  <c r="B113" i="21"/>
  <c r="B112" i="21" s="1"/>
  <c r="B84" i="21"/>
  <c r="B54" i="21"/>
  <c r="B53" i="21"/>
  <c r="B38" i="21"/>
  <c r="B26" i="21"/>
  <c r="B8" i="21"/>
  <c r="B7" i="21"/>
  <c r="B6" i="21" s="1"/>
  <c r="G26" i="1"/>
  <c r="G32" i="1"/>
  <c r="G31" i="1"/>
  <c r="G30" i="1"/>
  <c r="G22" i="1"/>
  <c r="G21" i="1"/>
  <c r="G18" i="1"/>
  <c r="B37" i="8"/>
  <c r="B36" i="8"/>
  <c r="L35" i="8"/>
  <c r="L34" i="8"/>
  <c r="L33" i="8"/>
  <c r="B35" i="8"/>
  <c r="L32" i="8"/>
  <c r="B34" i="8"/>
  <c r="B124" i="3"/>
  <c r="B113" i="3"/>
  <c r="B112" i="3" s="1"/>
  <c r="B84" i="3"/>
  <c r="B54" i="3"/>
  <c r="B53" i="3"/>
  <c r="B38" i="3"/>
  <c r="B26" i="3"/>
  <c r="B8" i="3"/>
  <c r="B7" i="3"/>
  <c r="B6" i="3" s="1"/>
  <c r="B33" i="8"/>
  <c r="M2" i="1"/>
  <c r="L31" i="8"/>
  <c r="B32" i="8"/>
  <c r="B7" i="20"/>
  <c r="B6" i="20" s="1"/>
  <c r="L30" i="8"/>
  <c r="B31" i="8"/>
  <c r="B30" i="8"/>
  <c r="L29" i="8"/>
  <c r="L28" i="8"/>
  <c r="B24" i="16"/>
  <c r="B29" i="8"/>
  <c r="G58" i="2"/>
  <c r="B25" i="8"/>
  <c r="D17" i="8"/>
  <c r="B15" i="8" s="1"/>
  <c r="B28" i="8"/>
  <c r="B27" i="8"/>
  <c r="L27" i="8"/>
  <c r="L26" i="8"/>
  <c r="L25" i="8"/>
  <c r="B26" i="8"/>
  <c r="L24" i="8"/>
  <c r="B24" i="8"/>
  <c r="L23" i="8"/>
  <c r="G104" i="2"/>
  <c r="B23" i="8"/>
  <c r="L22" i="8"/>
  <c r="B22" i="8"/>
  <c r="B57" i="20"/>
  <c r="B56" i="20" s="1"/>
  <c r="B32" i="20"/>
  <c r="B31" i="20" s="1"/>
  <c r="L21" i="8"/>
  <c r="B21" i="8"/>
  <c r="K18" i="8"/>
  <c r="L18" i="8" s="1"/>
  <c r="L19" i="8"/>
  <c r="L20" i="8"/>
  <c r="K17" i="8"/>
  <c r="H15" i="8" s="1"/>
  <c r="B20" i="8"/>
  <c r="E110" i="1"/>
  <c r="J18" i="8"/>
  <c r="B19" i="8"/>
  <c r="B13" i="8" s="1"/>
  <c r="B12" i="8" s="1"/>
  <c r="I8" i="15"/>
  <c r="I3" i="15" s="1"/>
  <c r="D11" i="1"/>
  <c r="B51" i="5"/>
  <c r="B50" i="5"/>
  <c r="B7" i="5"/>
  <c r="B6" i="5"/>
  <c r="B26" i="5"/>
  <c r="B25" i="5"/>
  <c r="B88" i="5"/>
  <c r="B77" i="5"/>
  <c r="B76" i="5" s="1"/>
  <c r="G93" i="2"/>
  <c r="G92" i="2" s="1"/>
  <c r="G39" i="2"/>
  <c r="G38" i="2" s="1"/>
  <c r="G7" i="2"/>
  <c r="G6" i="2" s="1"/>
  <c r="H7" i="2"/>
  <c r="G59" i="2"/>
  <c r="D5" i="16"/>
  <c r="C5" i="5" l="1"/>
  <c r="D5" i="5" s="1"/>
  <c r="H13" i="8"/>
  <c r="H12" i="8" s="1"/>
  <c r="C5" i="3"/>
  <c r="D5" i="3" s="1"/>
  <c r="H5" i="2"/>
  <c r="I5" i="2" s="1"/>
  <c r="J5" i="2" s="1"/>
  <c r="E2" i="1"/>
  <c r="E40" i="1"/>
  <c r="E39" i="1" s="1"/>
  <c r="H18" i="1"/>
  <c r="L17" i="8"/>
  <c r="C5" i="21"/>
  <c r="D5" i="21" s="1"/>
  <c r="E5" i="21" s="1"/>
  <c r="C5" i="2"/>
  <c r="D5" i="2" s="1"/>
  <c r="C8" i="8"/>
  <c r="C7" i="8"/>
  <c r="C5" i="20"/>
  <c r="D5" i="20" s="1"/>
  <c r="C2" i="20" s="1"/>
  <c r="E5" i="2" l="1"/>
  <c r="F141" i="1"/>
  <c r="C2" i="3"/>
  <c r="E5" i="5"/>
  <c r="C2" i="5"/>
  <c r="C2" i="21"/>
  <c r="E5" i="20"/>
  <c r="H3" i="1" s="1"/>
  <c r="C2" i="2"/>
  <c r="H2" i="1" l="1"/>
  <c r="I1" i="1" s="1"/>
  <c r="H37" i="1" l="1"/>
</calcChain>
</file>

<file path=xl/comments1.xml><?xml version="1.0" encoding="utf-8"?>
<comments xmlns="http://schemas.openxmlformats.org/spreadsheetml/2006/main">
  <authors>
    <author>Guru Thangavelu (Inviso)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Guru Thangavelu (Inviso):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</commentList>
</comments>
</file>

<file path=xl/sharedStrings.xml><?xml version="1.0" encoding="utf-8"?>
<sst xmlns="http://schemas.openxmlformats.org/spreadsheetml/2006/main" count="856" uniqueCount="422">
  <si>
    <t>Bank Balance Sheet</t>
  </si>
  <si>
    <t>Total  Amount Available in 3 banks</t>
  </si>
  <si>
    <t>Credit card total</t>
  </si>
  <si>
    <t xml:space="preserve">Last Month </t>
  </si>
  <si>
    <t>Expenses Incurred</t>
  </si>
  <si>
    <t>Credit card tracking based on Month</t>
  </si>
  <si>
    <t>Monthly Card Total</t>
  </si>
  <si>
    <t>Jan</t>
  </si>
  <si>
    <t>IMG Bank</t>
  </si>
  <si>
    <t>Current Status</t>
  </si>
  <si>
    <t>Feb</t>
  </si>
  <si>
    <t>BOA1</t>
  </si>
  <si>
    <t>Paid</t>
  </si>
  <si>
    <t>March</t>
  </si>
  <si>
    <t>BOA2</t>
  </si>
  <si>
    <t>April</t>
  </si>
  <si>
    <t xml:space="preserve">Citi </t>
  </si>
  <si>
    <t>May</t>
  </si>
  <si>
    <t>Citi Costco</t>
  </si>
  <si>
    <t>Sony</t>
  </si>
  <si>
    <t>Smarty Pig</t>
  </si>
  <si>
    <t>Amazon</t>
  </si>
  <si>
    <t xml:space="preserve">Current Status </t>
  </si>
  <si>
    <t>DCU</t>
  </si>
  <si>
    <t>Energy - Auto pay</t>
  </si>
  <si>
    <t>TCF</t>
  </si>
  <si>
    <t>DCU Credit Union</t>
  </si>
  <si>
    <t>Month Income</t>
  </si>
  <si>
    <t>Mortgage 1</t>
  </si>
  <si>
    <t>Mortgage 2</t>
  </si>
  <si>
    <t>Personal Loan</t>
  </si>
  <si>
    <t>Veeya and Babi insurance</t>
  </si>
  <si>
    <t>Water</t>
  </si>
  <si>
    <t>PSE</t>
  </si>
  <si>
    <t>Garbage</t>
  </si>
  <si>
    <t>(TV+Internet)Till Sep 2017</t>
  </si>
  <si>
    <t>Internet</t>
  </si>
  <si>
    <t>ATT</t>
  </si>
  <si>
    <t>Till May 2017</t>
  </si>
  <si>
    <t>Vonage</t>
  </si>
  <si>
    <t>Capitalone</t>
  </si>
  <si>
    <t>Citi</t>
  </si>
  <si>
    <t>Credit card total payment</t>
  </si>
  <si>
    <t xml:space="preserve">Bank of America </t>
  </si>
  <si>
    <t>Provision</t>
  </si>
  <si>
    <t>Gas</t>
  </si>
  <si>
    <t>Other Credit Card Payment</t>
  </si>
  <si>
    <t>Purse Amount</t>
  </si>
  <si>
    <t xml:space="preserve"> </t>
  </si>
  <si>
    <t>Total</t>
  </si>
  <si>
    <t>Total Amount spend on Credit Card</t>
  </si>
  <si>
    <t>Total Amount in Credit Card</t>
  </si>
  <si>
    <t>Provision Budget</t>
  </si>
  <si>
    <t xml:space="preserve">   </t>
  </si>
  <si>
    <t>Hotel Foods Budget</t>
  </si>
  <si>
    <t>Hotel Foods</t>
  </si>
  <si>
    <t>Others Budget</t>
  </si>
  <si>
    <t>Others</t>
  </si>
  <si>
    <t>Last Month carry over</t>
  </si>
  <si>
    <t>Gas Budget</t>
  </si>
  <si>
    <t>Credit Card Bill Amount Payment</t>
  </si>
  <si>
    <t>CREDIT CARD BALANACE</t>
  </si>
  <si>
    <t>Citi Bank</t>
  </si>
  <si>
    <t>Fredy Meyer Provisions</t>
  </si>
  <si>
    <t>Mayuri/Apna bazar Provisions</t>
  </si>
  <si>
    <t>DK Mart / 99 Ranch Provision/Uwajimiya</t>
  </si>
  <si>
    <t>Last month carry over</t>
  </si>
  <si>
    <t>Last month carryover</t>
  </si>
  <si>
    <t>Discover credit card</t>
  </si>
  <si>
    <t>Gas Total</t>
  </si>
  <si>
    <t xml:space="preserve">Sony credit card </t>
  </si>
  <si>
    <t>Total cost</t>
  </si>
  <si>
    <t>Balance to be paid</t>
  </si>
  <si>
    <t>Initial Payement Details</t>
  </si>
  <si>
    <t>Lot No</t>
  </si>
  <si>
    <t>Total SqFt</t>
  </si>
  <si>
    <t>Per Sq Ft</t>
  </si>
  <si>
    <t>Down Payment</t>
  </si>
  <si>
    <t>Lot Price</t>
  </si>
  <si>
    <t>Monthly Installements</t>
  </si>
  <si>
    <t>Date</t>
  </si>
  <si>
    <t>Payment</t>
  </si>
  <si>
    <t>Status</t>
  </si>
  <si>
    <t>Total Home value</t>
  </si>
  <si>
    <t>TCF Loan</t>
  </si>
  <si>
    <t>Pulte Loan</t>
  </si>
  <si>
    <t>Down payment</t>
  </si>
  <si>
    <t>Current Home value from Zillow</t>
  </si>
  <si>
    <t>Current Home value from Redfin</t>
  </si>
  <si>
    <t>TCF Bank</t>
  </si>
  <si>
    <t>Pulte Mortgage</t>
  </si>
  <si>
    <t>Loan Amount</t>
  </si>
  <si>
    <t>Total Principal</t>
  </si>
  <si>
    <t>Total Interest</t>
  </si>
  <si>
    <t>Total Paid</t>
  </si>
  <si>
    <t>Payment Date</t>
  </si>
  <si>
    <t>Principle Amount</t>
  </si>
  <si>
    <t>Interest Amount</t>
  </si>
  <si>
    <t>Excess Amount Paid</t>
  </si>
  <si>
    <t>Escrow</t>
  </si>
  <si>
    <t>Money to India</t>
  </si>
  <si>
    <t xml:space="preserve">Total INR </t>
  </si>
  <si>
    <t>Total USD</t>
  </si>
  <si>
    <t>Interior Payment (20% of the Total)</t>
  </si>
  <si>
    <t>Reference No</t>
  </si>
  <si>
    <t>To Whom</t>
  </si>
  <si>
    <t>INR</t>
  </si>
  <si>
    <t>Dollars</t>
  </si>
  <si>
    <t>Comments</t>
  </si>
  <si>
    <t>M2E01721932</t>
  </si>
  <si>
    <t>Dad</t>
  </si>
  <si>
    <t>Personal Expenses</t>
  </si>
  <si>
    <t>M2A11245096</t>
  </si>
  <si>
    <t>Indian Land</t>
  </si>
  <si>
    <t>Indian Land - ICICI</t>
  </si>
  <si>
    <t>M2A11232287</t>
  </si>
  <si>
    <t>M2A11232288</t>
  </si>
  <si>
    <t>M2A11214832</t>
  </si>
  <si>
    <t>M2A11214833</t>
  </si>
  <si>
    <t>M2A11202944</t>
  </si>
  <si>
    <t>M2A11202947</t>
  </si>
  <si>
    <t>M2A11188080</t>
  </si>
  <si>
    <t>M2A11188081</t>
  </si>
  <si>
    <t>M2A11167625</t>
  </si>
  <si>
    <t>M2A11167626</t>
  </si>
  <si>
    <t>M2A11142919</t>
  </si>
  <si>
    <t>M2A11142921</t>
  </si>
  <si>
    <t>M2A11126052</t>
  </si>
  <si>
    <t>M2A11126056</t>
  </si>
  <si>
    <t>M2A11105669</t>
  </si>
  <si>
    <t>M2A11105670</t>
  </si>
  <si>
    <t>M2A11081880</t>
  </si>
  <si>
    <t>M2A11081878</t>
  </si>
  <si>
    <t>M2A11060621</t>
  </si>
  <si>
    <t>M2A11060623</t>
  </si>
  <si>
    <t>M2A11033933</t>
  </si>
  <si>
    <t>M2A11033939</t>
  </si>
  <si>
    <t>M2A11021799</t>
  </si>
  <si>
    <t>M2A11012058</t>
  </si>
  <si>
    <t>M2A11012059</t>
  </si>
  <si>
    <t>M2A10989404</t>
  </si>
  <si>
    <t>M2A10989409</t>
  </si>
  <si>
    <t>M2A10961620</t>
  </si>
  <si>
    <t>M2A10961621</t>
  </si>
  <si>
    <t>M2A10939355</t>
  </si>
  <si>
    <t>M2A10939356</t>
  </si>
  <si>
    <t>M2A10909902</t>
  </si>
  <si>
    <t>M2A10909883</t>
  </si>
  <si>
    <t>M2A10881148</t>
  </si>
  <si>
    <t xml:space="preserve">M2A10881145  </t>
  </si>
  <si>
    <t xml:space="preserve">M2A10849011 </t>
  </si>
  <si>
    <t>M2A10818707</t>
  </si>
  <si>
    <t>M2A10801241</t>
  </si>
  <si>
    <t>M2A10789410</t>
  </si>
  <si>
    <t>M2A10774433</t>
  </si>
  <si>
    <t>M2A10765892</t>
  </si>
  <si>
    <t xml:space="preserve">M2A10752217 </t>
  </si>
  <si>
    <t>M2A10738036</t>
  </si>
  <si>
    <t xml:space="preserve">M2A10723491 </t>
  </si>
  <si>
    <t>M2A10697209</t>
  </si>
  <si>
    <t>M2A10697207</t>
  </si>
  <si>
    <t>Car - ICICI</t>
  </si>
  <si>
    <t xml:space="preserve">M2A10701266 </t>
  </si>
  <si>
    <t>Parents travel expenses</t>
  </si>
  <si>
    <t>M2A10670844</t>
  </si>
  <si>
    <t xml:space="preserve">M2A10670840 </t>
  </si>
  <si>
    <t xml:space="preserve">M2A10648042 </t>
  </si>
  <si>
    <t>M2A10648034</t>
  </si>
  <si>
    <t xml:space="preserve">M2A10625952 </t>
  </si>
  <si>
    <t xml:space="preserve">M2A10625951 </t>
  </si>
  <si>
    <t>M2A10596745</t>
  </si>
  <si>
    <t>M2A10596743</t>
  </si>
  <si>
    <t>M2A10557221</t>
  </si>
  <si>
    <t>Car - ICICI + Dad surgery</t>
  </si>
  <si>
    <t xml:space="preserve"> M2A10557197</t>
  </si>
  <si>
    <t xml:space="preserve">M2A10525733 </t>
  </si>
  <si>
    <t>Car -ICICI &amp; Diwali gift</t>
  </si>
  <si>
    <t xml:space="preserve">M2A10524482 </t>
  </si>
  <si>
    <t>M2A10493700</t>
  </si>
  <si>
    <t>Car -ICICI</t>
  </si>
  <si>
    <t>M2A10489927</t>
  </si>
  <si>
    <t>M2A10445428</t>
  </si>
  <si>
    <t xml:space="preserve">M2A10404357 </t>
  </si>
  <si>
    <t>Car - ICICI + Parents Insurance</t>
  </si>
  <si>
    <t>M2A10398628</t>
  </si>
  <si>
    <t>M2A10369652</t>
  </si>
  <si>
    <t>M2A10308303</t>
  </si>
  <si>
    <t>Raji</t>
  </si>
  <si>
    <t xml:space="preserve">M2A10300734
</t>
  </si>
  <si>
    <t>M2A10239748</t>
  </si>
  <si>
    <t>M2A10225191</t>
  </si>
  <si>
    <t>Babi Treatment</t>
  </si>
  <si>
    <t>M2A10206712</t>
  </si>
  <si>
    <t>M2A10129646</t>
  </si>
  <si>
    <t>Car</t>
  </si>
  <si>
    <t>Car and Diwali</t>
  </si>
  <si>
    <t>15/07/2013</t>
  </si>
  <si>
    <t>House Rent and Car</t>
  </si>
  <si>
    <t>17/06/2013</t>
  </si>
  <si>
    <t>18/03/2013</t>
  </si>
  <si>
    <t>13/02/2013</t>
  </si>
  <si>
    <t>Safe side money for 
Dad Heart surgery</t>
  </si>
  <si>
    <t>15/01/2013</t>
  </si>
  <si>
    <t>Transferred to dad for babi mom passed way expense</t>
  </si>
  <si>
    <t>16/07/2012</t>
  </si>
  <si>
    <t>16/06/2012</t>
  </si>
  <si>
    <t>24/05/2012</t>
  </si>
  <si>
    <t>House Vacate and 
Renovate</t>
  </si>
  <si>
    <t>16/05/2012</t>
  </si>
  <si>
    <t>25/04/2012</t>
  </si>
  <si>
    <t>16/04/2012</t>
  </si>
  <si>
    <t>Siva</t>
  </si>
  <si>
    <t>Srini Education</t>
  </si>
  <si>
    <t>15/03/2012</t>
  </si>
  <si>
    <t>Kishore</t>
  </si>
  <si>
    <t>Send money to Babi</t>
  </si>
  <si>
    <t>14/02/2012</t>
  </si>
  <si>
    <t>14/12/2011</t>
  </si>
  <si>
    <t>22/10/2011</t>
  </si>
  <si>
    <t>14/10/2011</t>
  </si>
  <si>
    <t>Hari</t>
  </si>
  <si>
    <t>15/09/2011</t>
  </si>
  <si>
    <t>14/09/2011</t>
  </si>
  <si>
    <t>Will be getting details later</t>
  </si>
  <si>
    <t>24/08/2011</t>
  </si>
  <si>
    <t>16/08/2011</t>
  </si>
  <si>
    <t>14/07/2011</t>
  </si>
  <si>
    <t>14/06/2011</t>
  </si>
  <si>
    <t>16/05/2011</t>
  </si>
  <si>
    <t>18/04/2011</t>
  </si>
  <si>
    <t>14/04/2011</t>
  </si>
  <si>
    <t>22/03/2011</t>
  </si>
  <si>
    <t>16/03/2011</t>
  </si>
  <si>
    <t>15/03/2011</t>
  </si>
  <si>
    <t>14/03/2011</t>
  </si>
  <si>
    <t>17/02/2011</t>
  </si>
  <si>
    <t>17/01/2011</t>
  </si>
  <si>
    <t>15/12/2010</t>
  </si>
  <si>
    <t>16/11/2010</t>
  </si>
  <si>
    <t>14/10/2010</t>
  </si>
  <si>
    <t>14/09/2010</t>
  </si>
  <si>
    <t>16/08/2010</t>
  </si>
  <si>
    <t>Send money to Babi
to Maintain minimum
balance</t>
  </si>
  <si>
    <t>20/07/2010</t>
  </si>
  <si>
    <t>16/07/2010</t>
  </si>
  <si>
    <t>18/05/2010</t>
  </si>
  <si>
    <t>28/04/2010</t>
  </si>
  <si>
    <t>18/03/2010</t>
  </si>
  <si>
    <t>Car downpayment</t>
  </si>
  <si>
    <t>24/02/2010</t>
  </si>
  <si>
    <t>17/11/2009</t>
  </si>
  <si>
    <t>23/09/2009</t>
  </si>
  <si>
    <t>28/08/2009</t>
  </si>
  <si>
    <t>26/05/2009</t>
  </si>
  <si>
    <t>24/02/2009</t>
  </si>
  <si>
    <t>13/10/2008</t>
  </si>
  <si>
    <t>Diwali</t>
  </si>
  <si>
    <t>15/07/2008</t>
  </si>
  <si>
    <t>14/07/2008</t>
  </si>
  <si>
    <t>27/05/2008</t>
  </si>
  <si>
    <t>19/05/2008</t>
  </si>
  <si>
    <t>14/05/2008</t>
  </si>
  <si>
    <t>22/04/2008</t>
  </si>
  <si>
    <t>14/02/2008</t>
  </si>
  <si>
    <t>18/11/2007</t>
  </si>
  <si>
    <t>22/10/2007</t>
  </si>
  <si>
    <t>Initial setup</t>
  </si>
  <si>
    <t>15/06/2007</t>
  </si>
  <si>
    <t>Gave 1 lakh rupee</t>
  </si>
  <si>
    <t>31/10/2006</t>
  </si>
  <si>
    <t>29/09/2006</t>
  </si>
  <si>
    <t>22/09/2006</t>
  </si>
  <si>
    <t>16/08/2006</t>
  </si>
  <si>
    <t>Guru - Residance since March 5th 2012</t>
  </si>
  <si>
    <t>Raja - Residance since March 5th 2012</t>
  </si>
  <si>
    <t>Total Days</t>
  </si>
  <si>
    <t>Total Months</t>
  </si>
  <si>
    <t>Leaving Date</t>
  </si>
  <si>
    <t>Entering Date</t>
  </si>
  <si>
    <t>Reason</t>
  </si>
  <si>
    <t>Days</t>
  </si>
  <si>
    <t>Months</t>
  </si>
  <si>
    <t>MIL passed</t>
  </si>
  <si>
    <t>Mom passed</t>
  </si>
  <si>
    <t>Family Wedding</t>
  </si>
  <si>
    <t>IVF</t>
  </si>
  <si>
    <t>IVF and dad surgery</t>
  </si>
  <si>
    <t>M2A11257522</t>
  </si>
  <si>
    <t>M2E01749072</t>
  </si>
  <si>
    <t>Personal Expenses
Car insurance
Car tire</t>
  </si>
  <si>
    <t>June</t>
  </si>
  <si>
    <t>M2E01769293</t>
  </si>
  <si>
    <t>Initial Saberi Wedding expense 1</t>
  </si>
  <si>
    <t>Target Money for the expenses</t>
  </si>
  <si>
    <t>Phase 1 money sent on 08-10-2017</t>
  </si>
  <si>
    <t>Money so far sent</t>
  </si>
  <si>
    <t>Remaining money to be sent</t>
  </si>
  <si>
    <t>USD</t>
  </si>
  <si>
    <t>M2E01775196</t>
  </si>
  <si>
    <t>Dharshani project</t>
  </si>
  <si>
    <t>July</t>
  </si>
  <si>
    <t>Initial Saberi Wedding expense2</t>
  </si>
  <si>
    <t>Phase 2 money sent on 08-25-2017</t>
  </si>
  <si>
    <t>Inviso</t>
  </si>
  <si>
    <t>VISA</t>
  </si>
  <si>
    <t>M2A11275801</t>
  </si>
  <si>
    <t>Gas on 09-04-2017</t>
  </si>
  <si>
    <t>Food at Thai on 09-04-2017</t>
  </si>
  <si>
    <t>Parking on 09-07-2017</t>
  </si>
  <si>
    <t>Massage on 09-07-2017</t>
  </si>
  <si>
    <t>Gift card from Fred Meyer on 09-07-2017</t>
  </si>
  <si>
    <t>Provision at Whole food on 09-02-2017</t>
  </si>
  <si>
    <t>Homedepot on 09-07-2017</t>
  </si>
  <si>
    <t>Provision at Safeway on 09-07-2017</t>
  </si>
  <si>
    <t>Milk on 09-06-2017</t>
  </si>
  <si>
    <t>Cake on 09-07-2017</t>
  </si>
  <si>
    <t>Yupflix on 09-07-2017</t>
  </si>
  <si>
    <t>Waste management on 09-07-2017</t>
  </si>
  <si>
    <t>yupp tv subscription on 09-07-2017</t>
  </si>
  <si>
    <t>Refund yupp tv on 09-07-2017</t>
  </si>
  <si>
    <t>Gas for VW on 09-05-2017</t>
  </si>
  <si>
    <t>Provision on 09-05-2017</t>
  </si>
  <si>
    <t>Gas for Honda on 09-02-2017</t>
  </si>
  <si>
    <t>Mortage payment on 09-11-2017</t>
  </si>
  <si>
    <t>Carters on 09-10-2017</t>
  </si>
  <si>
    <t>Parking on seattle on 09-09-2017</t>
  </si>
  <si>
    <t>Items at home depot on 09-08-2017</t>
  </si>
  <si>
    <t>Provision at Fred Meyer on 09-09-2017</t>
  </si>
  <si>
    <t>Provision at International Food Bazar on 09-12-2017</t>
  </si>
  <si>
    <t>Meat on 09-12-2017</t>
  </si>
  <si>
    <t>Provision at Mayuri on 09-12-2017</t>
  </si>
  <si>
    <t>Provision at Swaghat on 09-12-2017</t>
  </si>
  <si>
    <t>Food at Panda express on 09-12-2017</t>
  </si>
  <si>
    <t>Gift on 09-12-2017</t>
  </si>
  <si>
    <t>Provision at Fred Meyer on 09-12-2017</t>
  </si>
  <si>
    <t>Paid to BOA1 credit card from BOA 2 account on 09-15-2017</t>
  </si>
  <si>
    <t>Cake at QFC on 09-14-2017</t>
  </si>
  <si>
    <t>Food on 09-14-2017</t>
  </si>
  <si>
    <t>Gift at Fred Meyer on 09-14-2017</t>
  </si>
  <si>
    <t>Cake at French Bakery on 09-14-2017</t>
  </si>
  <si>
    <t>Provision at Safeway on 09-14-2017</t>
  </si>
  <si>
    <t>Milk on 09-14-2017</t>
  </si>
  <si>
    <t>Paid to DCU on 09-15-2017</t>
  </si>
  <si>
    <t>Paid from BOA2 account on 09-15-2017</t>
  </si>
  <si>
    <t>Paid to Citi card from BOA2 account on 09-17-2017</t>
  </si>
  <si>
    <t>Paid to Costco Citi card from BOA2 account on 09-17-2017</t>
  </si>
  <si>
    <t>Paid to BOA1 card from BOA2 account on 09-17-2017</t>
  </si>
  <si>
    <t>Paid to TCF  from BOA2 account on 09-17-2017</t>
  </si>
  <si>
    <t>Paid to Chase from BOA2 account on 09-17-2017</t>
  </si>
  <si>
    <t>Paid to BOA2 card from BOA2 account on 09-18-2017</t>
  </si>
  <si>
    <t>Engergy from BOA2  on 09-22-2017</t>
  </si>
  <si>
    <t>Paid to BOA1 card from BOA1 account on 09-17-2017</t>
  </si>
  <si>
    <t>Paid to DCU Credit card on 09-16-2017</t>
  </si>
  <si>
    <t>Paid to credit card on 09-16-2017</t>
  </si>
  <si>
    <t>Security system on 09-16-2017</t>
  </si>
  <si>
    <t>Stone on 09-22-2017</t>
  </si>
  <si>
    <t>Traffic voilation on 09-22-2017</t>
  </si>
  <si>
    <t>Paid to BOA1 credit card from BOA 2 account on 09-17-2017</t>
  </si>
  <si>
    <t>Interest on 09-18-2017</t>
  </si>
  <si>
    <t>Provision at Safeway on 09-16-2017</t>
  </si>
  <si>
    <t>Cake at French Bakery on 09-19-2017</t>
  </si>
  <si>
    <t>Food on 09-19-2017</t>
  </si>
  <si>
    <t>Dress for veeya on 09-18-2017</t>
  </si>
  <si>
    <t>Food at Anjappar on 09-16-2017</t>
  </si>
  <si>
    <t>Play area on 09-16-2017</t>
  </si>
  <si>
    <t>Interest on 09-11-2017</t>
  </si>
  <si>
    <t>Paid from BOA2 account on 09-08-2017</t>
  </si>
  <si>
    <t>Gas for Honda on 09-15-2017</t>
  </si>
  <si>
    <t>Gas for VW on 09-14-2017</t>
  </si>
  <si>
    <t>August</t>
  </si>
  <si>
    <t>Sep</t>
  </si>
  <si>
    <t>Phone bill on 09-25-2017</t>
  </si>
  <si>
    <t>Vonage on 09-29-2017</t>
  </si>
  <si>
    <t>Provision at Fred Meyer on 09-29-2017</t>
  </si>
  <si>
    <t>Items at home depot on 09-28-2017</t>
  </si>
  <si>
    <t>Medicine at Fred Meyer on 09-28-2017</t>
  </si>
  <si>
    <t>Items at Walgreens on 09-28-2017</t>
  </si>
  <si>
    <t>Milk on 09-27-2017</t>
  </si>
  <si>
    <t>Provision at Swaghat on 09-27-2017</t>
  </si>
  <si>
    <t>Comcast on 09-28-2017</t>
  </si>
  <si>
    <t>Items at Party Display on 09-28-2017</t>
  </si>
  <si>
    <t>Water on 09-28-2017</t>
  </si>
  <si>
    <t>Provision at Fred Meyer on 09-27-2017</t>
  </si>
  <si>
    <t>Pizza on 09-26-2017</t>
  </si>
  <si>
    <t>Provision at Safeway on 09-26-2017</t>
  </si>
  <si>
    <t>Pickle on 09-25-2017</t>
  </si>
  <si>
    <t>Provision at Fred Meyer on 09-25-2017</t>
  </si>
  <si>
    <t>Pizza on 09-25-2017</t>
  </si>
  <si>
    <t>Milk on 09-22-2017</t>
  </si>
  <si>
    <t>Provision at Swaghat on 09-22-2017</t>
  </si>
  <si>
    <t>Refund from Swaghat on 09-22-2017</t>
  </si>
  <si>
    <t>Provision at International Food Bazar on 09-21-2017</t>
  </si>
  <si>
    <t>Interest on 09-27-2017</t>
  </si>
  <si>
    <t>Provision on 09-22-2017</t>
  </si>
  <si>
    <t>Gas for VW on 09-26-2017</t>
  </si>
  <si>
    <t>Provision on 09-26-2017</t>
  </si>
  <si>
    <t>Country Oven Pizza on 09-22-2017</t>
  </si>
  <si>
    <t>Interest on 09-21-2017</t>
  </si>
  <si>
    <t>Transferred to Dad on 09-30-2017</t>
  </si>
  <si>
    <t xml:space="preserve">M2E01816247 </t>
  </si>
  <si>
    <t>Diwali expenses</t>
  </si>
  <si>
    <t>M2E01801864</t>
  </si>
  <si>
    <t>Provision at Safeway on 09-29-2017</t>
  </si>
  <si>
    <t>Food at Boitong on 10-01-2017</t>
  </si>
  <si>
    <t>Mortage payment on 10-02-2017</t>
  </si>
  <si>
    <t>Paid to BOA1 card from BOA2 account on 09-02-2017</t>
  </si>
  <si>
    <t>Paid to BOA1 card from BOA2 account on 10-02-2017</t>
  </si>
  <si>
    <t>Milk on 10-05-2017</t>
  </si>
  <si>
    <t>Provision at PCC on 10-04-2017</t>
  </si>
  <si>
    <t>Provisionat Safeway on 10-04-2017</t>
  </si>
  <si>
    <t>Parking on 10-04-2017</t>
  </si>
  <si>
    <t>Provision on 10-03-2017</t>
  </si>
  <si>
    <t>Gas for VW on 10-01-2017</t>
  </si>
  <si>
    <t>Cake on 10-10-2017</t>
  </si>
  <si>
    <t>Overlake parking on 10-10-2017</t>
  </si>
  <si>
    <t>Items at Home depot on 10-09-2017</t>
  </si>
  <si>
    <t>Food at Madras Dosa corner on 10-09-2017</t>
  </si>
  <si>
    <t>Food at Noodles land at Redmond on 10-06-2017</t>
  </si>
  <si>
    <t>Provision at Safeway on 10-09-2017</t>
  </si>
  <si>
    <t>Provision at Mayuri on 10-09-2017</t>
  </si>
  <si>
    <t>Return at Safeway on 10-06-2017</t>
  </si>
  <si>
    <t>Gas for VW on 10-08-2017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</si>
</sst>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0"/>
      <color theme="6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3" fillId="0" borderId="0"/>
    <xf numFmtId="0" fontId="15" fillId="0" borderId="0"/>
    <xf numFmtId="0" fontId="12" fillId="0" borderId="0"/>
    <xf numFmtId="0" fontId="11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/>
    <xf numFmtId="0" fontId="15" fillId="0" borderId="0" xfId="0" applyFont="1"/>
    <xf numFmtId="0" fontId="0" fillId="0" borderId="0" xfId="0" applyFont="1"/>
    <xf numFmtId="0" fontId="16" fillId="0" borderId="0" xfId="0" applyFont="1"/>
    <xf numFmtId="0" fontId="0" fillId="0" borderId="0" xfId="0"/>
    <xf numFmtId="0" fontId="0" fillId="0" borderId="0" xfId="0"/>
    <xf numFmtId="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5" fillId="0" borderId="0" xfId="2" applyFont="1" applyFill="1"/>
    <xf numFmtId="0" fontId="15" fillId="0" borderId="0" xfId="2"/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7" fontId="15" fillId="0" borderId="0" xfId="0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4" fontId="15" fillId="0" borderId="0" xfId="0" applyNumberFormat="1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4" fontId="16" fillId="0" borderId="0" xfId="0" applyNumberFormat="1" applyFont="1"/>
    <xf numFmtId="14" fontId="0" fillId="0" borderId="0" xfId="0" applyNumberFormat="1" applyAlignment="1">
      <alignment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14" fontId="15" fillId="0" borderId="0" xfId="0" applyNumberFormat="1" applyFont="1"/>
    <xf numFmtId="14" fontId="0" fillId="0" borderId="0" xfId="0" applyNumberFormat="1" applyAlignment="1">
      <alignment horizontal="right"/>
    </xf>
    <xf numFmtId="3" fontId="0" fillId="0" borderId="0" xfId="0" applyNumberFormat="1"/>
    <xf numFmtId="0" fontId="15" fillId="0" borderId="0" xfId="0" applyFont="1" applyAlignment="1">
      <alignment horizontal="center"/>
    </xf>
    <xf numFmtId="0" fontId="22" fillId="0" borderId="0" xfId="22"/>
    <xf numFmtId="0" fontId="7" fillId="0" borderId="0" xfId="0" applyFont="1" applyAlignment="1">
      <alignment horizontal="right"/>
    </xf>
    <xf numFmtId="0" fontId="7" fillId="0" borderId="0" xfId="0" quotePrefix="1" applyFont="1" applyAlignment="1">
      <alignment horizontal="right"/>
    </xf>
    <xf numFmtId="0" fontId="7" fillId="0" borderId="0" xfId="0" applyFont="1"/>
    <xf numFmtId="14" fontId="7" fillId="0" borderId="0" xfId="0" applyNumberFormat="1" applyFont="1"/>
    <xf numFmtId="14" fontId="7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16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16" fillId="2" borderId="0" xfId="0" applyFont="1" applyFill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3">
    <cellStyle name="Hyperlink" xfId="22" builtinId="8"/>
    <cellStyle name="Normal" xfId="0" builtinId="0"/>
    <cellStyle name="Normal 2" xfId="1"/>
    <cellStyle name="Normal 2 2" xfId="3"/>
    <cellStyle name="Normal 2 2 2" xfId="8"/>
    <cellStyle name="Normal 2 2 2 2" xfId="16"/>
    <cellStyle name="Normal 2 2 3" xfId="11"/>
    <cellStyle name="Normal 2 2 4" xfId="20"/>
    <cellStyle name="Normal 2 3" xfId="7"/>
    <cellStyle name="Normal 2 3 2" xfId="15"/>
    <cellStyle name="Normal 2 4" xfId="10"/>
    <cellStyle name="Normal 2 5" xfId="19"/>
    <cellStyle name="Normal 3" xfId="2"/>
    <cellStyle name="Normal 4" xfId="4"/>
    <cellStyle name="Normal 4 2" xfId="9"/>
    <cellStyle name="Normal 4 2 2" xfId="17"/>
    <cellStyle name="Normal 4 3" xfId="12"/>
    <cellStyle name="Normal 4 4" xfId="21"/>
    <cellStyle name="Normal 5" xfId="6"/>
    <cellStyle name="Normal 5 2" xfId="14"/>
    <cellStyle name="Normal 6" xfId="5"/>
    <cellStyle name="Normal 6 2" xfId="13"/>
    <cellStyle name="Normal 7" xf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tabSelected="1" zoomScale="85" zoomScaleNormal="85" workbookViewId="0">
      <selection activeCell="B5" sqref="B5"/>
    </sheetView>
  </sheetViews>
  <sheetFormatPr defaultRowHeight="12.5" x14ac:dyDescent="0.25"/>
  <cols>
    <col min="1" max="1" width="41.6328125" bestFit="1" customWidth="1"/>
    <col min="2" max="2" width="55.453125" bestFit="1" customWidth="1"/>
    <col min="3" max="3" width="11.453125" bestFit="1" customWidth="1"/>
    <col min="4" max="4" width="9.36328125" bestFit="1" customWidth="1"/>
    <col min="5" max="5" width="11.6328125" bestFit="1" customWidth="1"/>
    <col min="6" max="6" width="15.453125" bestFit="1" customWidth="1"/>
    <col min="7" max="7" width="25" bestFit="1" customWidth="1"/>
    <col min="8" max="8" width="42.36328125" customWidth="1"/>
    <col min="9" max="9" width="14.453125" bestFit="1" customWidth="1"/>
    <col min="10" max="10" width="16.54296875" bestFit="1" customWidth="1"/>
    <col min="11" max="11" width="12.6328125" style="35" customWidth="1"/>
    <col min="12" max="12" width="26.08984375" bestFit="1" customWidth="1"/>
    <col min="16" max="16" width="44.08984375" bestFit="1" customWidth="1"/>
  </cols>
  <sheetData>
    <row r="1" spans="1:17" x14ac:dyDescent="0.25">
      <c r="A1" s="78" t="s">
        <v>0</v>
      </c>
      <c r="B1" s="78"/>
      <c r="C1" s="78"/>
      <c r="D1" s="78"/>
      <c r="E1" s="78"/>
      <c r="F1" s="78"/>
      <c r="G1" s="35"/>
      <c r="H1" s="35"/>
      <c r="I1" s="35">
        <f>H2-J2</f>
        <v>751.63999999999942</v>
      </c>
      <c r="J1" s="35"/>
      <c r="K1" s="7"/>
      <c r="L1" s="35"/>
      <c r="M1" s="35"/>
      <c r="N1" s="35"/>
      <c r="O1" s="35"/>
      <c r="P1" s="35"/>
      <c r="Q1" s="35"/>
    </row>
    <row r="2" spans="1:17" ht="13" x14ac:dyDescent="0.3">
      <c r="A2" s="78" t="s">
        <v>1</v>
      </c>
      <c r="B2" s="78"/>
      <c r="C2" s="35"/>
      <c r="D2" s="35"/>
      <c r="E2" s="35">
        <f>D4+D11+D40+D19+D110</f>
        <v>8555.27</v>
      </c>
      <c r="F2" s="35"/>
      <c r="G2" s="4" t="s">
        <v>2</v>
      </c>
      <c r="H2" s="35">
        <f>'Credit Card'!C2+'Citi Bank'!C2+Sony!C2+'Costco Citi'!C2</f>
        <v>22583.32</v>
      </c>
      <c r="I2" s="2" t="s">
        <v>3</v>
      </c>
      <c r="J2" s="35">
        <v>21831.68</v>
      </c>
      <c r="L2" s="35" t="s">
        <v>4</v>
      </c>
      <c r="M2" s="35">
        <f>SUM(M3:M14)</f>
        <v>92831.49</v>
      </c>
      <c r="N2" s="35"/>
      <c r="O2" s="2" t="s">
        <v>5</v>
      </c>
      <c r="P2" s="35"/>
      <c r="Q2" s="35"/>
    </row>
    <row r="3" spans="1:17" x14ac:dyDescent="0.25">
      <c r="A3" s="35"/>
      <c r="B3" s="35"/>
      <c r="C3" s="35"/>
      <c r="D3" s="35"/>
      <c r="E3" s="35"/>
      <c r="F3" s="35"/>
      <c r="G3" s="35" t="s">
        <v>6</v>
      </c>
      <c r="H3" s="35">
        <f>'Credit Card'!E5+'Credit Card'!J5+DCU!E5+'Citi Bank'!E5+'Costco Citi'!E5+Sony!E5</f>
        <v>751.64000000000033</v>
      </c>
      <c r="I3" s="35"/>
      <c r="J3" s="35"/>
      <c r="L3" s="29">
        <v>42736</v>
      </c>
      <c r="M3" s="35">
        <v>8451.9599999999991</v>
      </c>
      <c r="N3" s="35"/>
      <c r="O3" s="2" t="s">
        <v>7</v>
      </c>
      <c r="P3" s="35">
        <v>24364.410000000003</v>
      </c>
      <c r="Q3" s="35"/>
    </row>
    <row r="4" spans="1:17" ht="13" x14ac:dyDescent="0.3">
      <c r="A4" s="35" t="s">
        <v>8</v>
      </c>
      <c r="B4" s="35" t="s">
        <v>9</v>
      </c>
      <c r="C4" s="35"/>
      <c r="D4" s="35">
        <f>3473.52+(110*0)-SUM(D5:D10)</f>
        <v>3473.52</v>
      </c>
      <c r="E4" s="35"/>
      <c r="F4" s="35"/>
      <c r="G4" s="35"/>
      <c r="H4" s="35"/>
      <c r="I4" s="4">
        <f>0-SUM(I5:I15)</f>
        <v>-4614.79</v>
      </c>
      <c r="J4" s="35"/>
      <c r="L4" s="29">
        <v>42767</v>
      </c>
      <c r="M4" s="35">
        <v>8311.26</v>
      </c>
      <c r="N4" s="35"/>
      <c r="O4" s="2" t="s">
        <v>10</v>
      </c>
      <c r="P4" s="35">
        <v>25441.8</v>
      </c>
      <c r="Q4" s="35">
        <f t="shared" ref="Q4:Q11" si="0">P4-P3</f>
        <v>1077.3899999999958</v>
      </c>
    </row>
    <row r="5" spans="1:17" ht="13.5" customHeight="1" x14ac:dyDescent="0.25">
      <c r="A5" s="35"/>
      <c r="B5" s="2"/>
      <c r="E5" s="35"/>
      <c r="F5" s="2" t="s">
        <v>11</v>
      </c>
      <c r="G5" s="49">
        <v>43023</v>
      </c>
      <c r="H5" s="2"/>
      <c r="I5" s="35">
        <v>1000</v>
      </c>
      <c r="J5" s="35" t="s">
        <v>12</v>
      </c>
      <c r="L5" s="29">
        <v>42795</v>
      </c>
      <c r="M5" s="35">
        <v>8829.9499999999989</v>
      </c>
      <c r="N5" s="35"/>
      <c r="O5" s="2" t="s">
        <v>13</v>
      </c>
      <c r="P5" s="35">
        <v>26495.83</v>
      </c>
      <c r="Q5" s="35">
        <f t="shared" si="0"/>
        <v>1054.0300000000025</v>
      </c>
    </row>
    <row r="6" spans="1:17" ht="13" x14ac:dyDescent="0.3">
      <c r="A6" s="35"/>
      <c r="E6" s="35"/>
      <c r="F6" s="4" t="s">
        <v>14</v>
      </c>
      <c r="G6" s="49">
        <v>43032</v>
      </c>
      <c r="H6" s="2"/>
      <c r="I6" s="4">
        <v>200</v>
      </c>
      <c r="J6" s="35" t="s">
        <v>12</v>
      </c>
      <c r="L6" s="29">
        <v>42826</v>
      </c>
      <c r="M6" s="35">
        <v>13787.189999999999</v>
      </c>
      <c r="N6" s="35"/>
      <c r="O6" s="2" t="s">
        <v>15</v>
      </c>
      <c r="P6" s="35">
        <v>25593.17</v>
      </c>
      <c r="Q6" s="35">
        <f t="shared" si="0"/>
        <v>-902.66000000000349</v>
      </c>
    </row>
    <row r="7" spans="1:17" ht="13" x14ac:dyDescent="0.3">
      <c r="A7" s="35"/>
      <c r="B7" s="35"/>
      <c r="C7" s="35"/>
      <c r="D7" s="35"/>
      <c r="E7" s="35"/>
      <c r="F7" s="4" t="s">
        <v>16</v>
      </c>
      <c r="G7" s="49">
        <v>43017</v>
      </c>
      <c r="H7" s="2"/>
      <c r="I7" s="2">
        <v>500</v>
      </c>
      <c r="J7" s="35" t="s">
        <v>12</v>
      </c>
      <c r="L7" s="29">
        <v>42856</v>
      </c>
      <c r="M7" s="35">
        <v>7531.0700000000006</v>
      </c>
      <c r="N7" s="35"/>
      <c r="O7" s="2" t="s">
        <v>17</v>
      </c>
      <c r="P7" s="35">
        <v>24954.58</v>
      </c>
      <c r="Q7" s="35">
        <f t="shared" si="0"/>
        <v>-638.58999999999651</v>
      </c>
    </row>
    <row r="8" spans="1:17" ht="13" x14ac:dyDescent="0.3">
      <c r="A8" s="35"/>
      <c r="B8" s="35"/>
      <c r="C8" s="35"/>
      <c r="D8" s="35"/>
      <c r="E8" s="35"/>
      <c r="F8" s="4" t="s">
        <v>18</v>
      </c>
      <c r="G8" s="49">
        <v>43025</v>
      </c>
      <c r="H8" s="2"/>
      <c r="I8" s="4">
        <v>200</v>
      </c>
      <c r="J8" s="35" t="s">
        <v>12</v>
      </c>
      <c r="L8" s="29">
        <v>42887</v>
      </c>
      <c r="M8" s="35">
        <v>10873.05</v>
      </c>
      <c r="N8" s="35"/>
      <c r="O8" s="2" t="s">
        <v>290</v>
      </c>
      <c r="P8" s="35">
        <v>24261.24</v>
      </c>
      <c r="Q8" s="35">
        <f t="shared" si="0"/>
        <v>-693.34000000000015</v>
      </c>
    </row>
    <row r="9" spans="1:17" ht="13" x14ac:dyDescent="0.3">
      <c r="A9" s="35"/>
      <c r="B9" s="35"/>
      <c r="C9" s="35"/>
      <c r="D9" s="35"/>
      <c r="E9" s="35"/>
      <c r="F9" s="4" t="s">
        <v>19</v>
      </c>
      <c r="G9" s="49">
        <v>43026</v>
      </c>
      <c r="H9" s="2"/>
      <c r="I9" s="4">
        <v>200</v>
      </c>
      <c r="J9" s="35"/>
      <c r="L9" s="29">
        <v>42917</v>
      </c>
      <c r="M9" s="35">
        <v>12028.96</v>
      </c>
      <c r="N9" s="35"/>
      <c r="O9" s="2" t="s">
        <v>300</v>
      </c>
      <c r="P9" s="35">
        <v>21956.77</v>
      </c>
      <c r="Q9" s="35">
        <f t="shared" si="0"/>
        <v>-2304.4700000000012</v>
      </c>
    </row>
    <row r="10" spans="1:17" ht="13" x14ac:dyDescent="0.3">
      <c r="A10" s="35" t="s">
        <v>20</v>
      </c>
      <c r="B10" s="35"/>
      <c r="C10" s="35"/>
      <c r="D10" s="35"/>
      <c r="E10" s="35"/>
      <c r="F10" s="4" t="s">
        <v>21</v>
      </c>
      <c r="G10" s="49">
        <v>43017</v>
      </c>
      <c r="H10" s="2"/>
      <c r="I10" s="4">
        <v>200</v>
      </c>
      <c r="J10" s="35" t="s">
        <v>12</v>
      </c>
      <c r="L10" s="29">
        <v>42948</v>
      </c>
      <c r="M10" s="35">
        <v>14501.89</v>
      </c>
      <c r="N10" s="35"/>
      <c r="O10" s="2" t="s">
        <v>369</v>
      </c>
      <c r="P10" s="35">
        <v>21831.68</v>
      </c>
      <c r="Q10" s="35">
        <f t="shared" si="0"/>
        <v>-125.09000000000015</v>
      </c>
    </row>
    <row r="11" spans="1:17" ht="13" x14ac:dyDescent="0.3">
      <c r="A11" s="35"/>
      <c r="B11" s="35" t="s">
        <v>22</v>
      </c>
      <c r="C11" s="35"/>
      <c r="D11" s="35">
        <f>0+SUM(D12:D17)</f>
        <v>0</v>
      </c>
      <c r="E11" s="35"/>
      <c r="F11" s="4" t="s">
        <v>23</v>
      </c>
      <c r="G11" s="49">
        <v>43024</v>
      </c>
      <c r="H11" s="2"/>
      <c r="I11" s="4">
        <v>900</v>
      </c>
      <c r="J11" s="35" t="s">
        <v>12</v>
      </c>
      <c r="L11" s="29">
        <v>42979</v>
      </c>
      <c r="M11" s="20">
        <v>8516.16</v>
      </c>
      <c r="N11" s="35"/>
      <c r="O11" s="2" t="s">
        <v>370</v>
      </c>
      <c r="P11" s="35">
        <v>22583.32</v>
      </c>
      <c r="Q11" s="35">
        <f>P11-P10</f>
        <v>751.63999999999942</v>
      </c>
    </row>
    <row r="12" spans="1:17" ht="13" x14ac:dyDescent="0.3">
      <c r="A12" s="35"/>
      <c r="B12" s="2"/>
      <c r="C12" s="35"/>
      <c r="D12" s="35"/>
      <c r="E12" s="35"/>
      <c r="F12" s="4" t="s">
        <v>24</v>
      </c>
      <c r="G12" s="49">
        <v>43030</v>
      </c>
      <c r="H12" s="2"/>
      <c r="I12" s="4">
        <v>394</v>
      </c>
      <c r="J12" s="35" t="s">
        <v>12</v>
      </c>
      <c r="L12" s="29">
        <v>43009</v>
      </c>
      <c r="M12" s="35"/>
      <c r="N12" s="35"/>
      <c r="O12" s="35"/>
      <c r="P12" s="35"/>
      <c r="Q12" s="35"/>
    </row>
    <row r="13" spans="1:17" ht="13" x14ac:dyDescent="0.3">
      <c r="A13" s="35"/>
      <c r="B13" s="35"/>
      <c r="C13" s="35"/>
      <c r="D13" s="35"/>
      <c r="E13" s="35"/>
      <c r="F13" s="4" t="s">
        <v>25</v>
      </c>
      <c r="G13" s="49">
        <v>43031</v>
      </c>
      <c r="H13" s="2"/>
      <c r="I13" s="4">
        <v>180</v>
      </c>
      <c r="J13" s="35" t="s">
        <v>12</v>
      </c>
      <c r="L13" s="29">
        <v>43040</v>
      </c>
      <c r="M13" s="35"/>
      <c r="N13" s="35"/>
      <c r="O13" s="35"/>
      <c r="P13" s="35"/>
      <c r="Q13" s="35"/>
    </row>
    <row r="14" spans="1:17" x14ac:dyDescent="0.25">
      <c r="A14" s="35"/>
      <c r="B14" s="35"/>
      <c r="C14" s="7"/>
      <c r="D14" s="7"/>
      <c r="E14" s="35"/>
      <c r="H14" s="2"/>
      <c r="I14" s="35">
        <v>240.79</v>
      </c>
      <c r="J14" s="35" t="s">
        <v>12</v>
      </c>
      <c r="L14" s="29">
        <v>43070</v>
      </c>
      <c r="M14" s="35"/>
      <c r="N14" s="35"/>
      <c r="O14" s="35"/>
      <c r="P14" s="35"/>
      <c r="Q14" s="35"/>
    </row>
    <row r="15" spans="1:17" ht="13" x14ac:dyDescent="0.3">
      <c r="A15" s="35"/>
      <c r="B15" s="35"/>
      <c r="C15" s="35"/>
      <c r="D15" s="35"/>
      <c r="E15" s="35"/>
      <c r="H15" s="2"/>
      <c r="I15" s="4">
        <v>600</v>
      </c>
      <c r="J15" s="35" t="s">
        <v>12</v>
      </c>
      <c r="L15" s="29"/>
      <c r="M15" s="35"/>
      <c r="N15" s="35"/>
      <c r="O15" s="35"/>
      <c r="P15" s="35"/>
      <c r="Q15" s="35"/>
    </row>
    <row r="16" spans="1:17" s="35" customFormat="1" x14ac:dyDescent="0.25">
      <c r="F16" s="2"/>
      <c r="L16" s="29"/>
    </row>
    <row r="17" spans="1:14" x14ac:dyDescent="0.25">
      <c r="A17" s="35"/>
      <c r="B17" s="35"/>
      <c r="C17" s="35"/>
      <c r="D17" s="35"/>
      <c r="E17" s="35"/>
      <c r="F17" s="35"/>
      <c r="G17" s="35">
        <f>2000+1234.89+396</f>
        <v>3630.8900000000003</v>
      </c>
      <c r="H17" s="35"/>
      <c r="I17" s="35"/>
      <c r="J17" s="35"/>
      <c r="L17" s="29"/>
      <c r="M17" s="35"/>
      <c r="N17" s="35"/>
    </row>
    <row r="18" spans="1:14" x14ac:dyDescent="0.25">
      <c r="A18" s="35" t="s">
        <v>26</v>
      </c>
      <c r="B18" s="35"/>
      <c r="C18" s="35"/>
      <c r="D18" s="35"/>
      <c r="E18" s="35"/>
      <c r="F18" s="35" t="s">
        <v>27</v>
      </c>
      <c r="G18" s="35">
        <f>G17*2</f>
        <v>7261.7800000000007</v>
      </c>
      <c r="H18" s="35">
        <f>G18-SUM(G19:G36)</f>
        <v>-317.97666666666646</v>
      </c>
      <c r="I18" s="35"/>
      <c r="J18" s="35"/>
      <c r="L18" s="29"/>
      <c r="M18" s="35"/>
      <c r="N18" s="35"/>
    </row>
    <row r="19" spans="1:14" x14ac:dyDescent="0.25">
      <c r="A19" s="35"/>
      <c r="B19" s="35" t="s">
        <v>22</v>
      </c>
      <c r="C19" s="35"/>
      <c r="D19" s="35">
        <f>1060.85-SUM(D20:D34)+1055.56-110-400</f>
        <v>178.41999999999985</v>
      </c>
      <c r="E19" s="35">
        <f>SUM(D20:D34)</f>
        <v>1427.99</v>
      </c>
      <c r="F19" s="35" t="s">
        <v>28</v>
      </c>
      <c r="G19" s="35">
        <f>3000+400</f>
        <v>3400</v>
      </c>
      <c r="H19" s="35"/>
      <c r="I19" s="35"/>
      <c r="J19" s="35"/>
      <c r="L19" s="29"/>
      <c r="M19" s="35"/>
      <c r="N19" s="35"/>
    </row>
    <row r="20" spans="1:14" ht="13" x14ac:dyDescent="0.3">
      <c r="A20" s="35"/>
      <c r="B20" t="s">
        <v>342</v>
      </c>
      <c r="D20" s="4">
        <v>900</v>
      </c>
      <c r="E20" s="35"/>
      <c r="F20" s="35" t="s">
        <v>29</v>
      </c>
      <c r="G20" s="35">
        <v>600</v>
      </c>
      <c r="H20" s="35"/>
      <c r="I20" s="35"/>
      <c r="J20" s="35"/>
      <c r="L20" s="29"/>
      <c r="M20" s="35"/>
      <c r="N20" s="2"/>
    </row>
    <row r="21" spans="1:14" ht="13" x14ac:dyDescent="0.3">
      <c r="A21" s="35"/>
      <c r="B21" s="35" t="s">
        <v>352</v>
      </c>
      <c r="D21" s="4">
        <v>24.99</v>
      </c>
      <c r="E21" s="35"/>
      <c r="F21" s="35" t="s">
        <v>30</v>
      </c>
      <c r="G21" s="35">
        <f>900</f>
        <v>900</v>
      </c>
      <c r="H21" s="35"/>
      <c r="I21" s="35"/>
      <c r="J21" s="35"/>
      <c r="L21" s="29"/>
      <c r="M21" s="35"/>
      <c r="N21" s="35"/>
    </row>
    <row r="22" spans="1:14" x14ac:dyDescent="0.25">
      <c r="A22" s="35"/>
      <c r="B22" s="35" t="s">
        <v>398</v>
      </c>
      <c r="C22" s="35"/>
      <c r="D22" s="35">
        <v>503</v>
      </c>
      <c r="E22" s="35"/>
      <c r="F22" s="35" t="s">
        <v>21</v>
      </c>
      <c r="G22" s="35">
        <f>200</f>
        <v>200</v>
      </c>
      <c r="H22" s="35"/>
      <c r="I22" s="35"/>
      <c r="J22" s="35"/>
      <c r="L22" s="29"/>
      <c r="M22" s="35"/>
      <c r="N22" s="35"/>
    </row>
    <row r="23" spans="1:14" ht="13" x14ac:dyDescent="0.3">
      <c r="A23" s="35"/>
      <c r="C23" s="35"/>
      <c r="D23" s="4"/>
      <c r="E23" s="35"/>
      <c r="F23" s="35" t="s">
        <v>31</v>
      </c>
      <c r="G23" s="35">
        <f>400+180</f>
        <v>580</v>
      </c>
      <c r="H23" s="35"/>
      <c r="I23" s="35"/>
      <c r="J23" s="35"/>
      <c r="L23" s="29"/>
      <c r="M23" s="35"/>
      <c r="N23" s="35"/>
    </row>
    <row r="24" spans="1:14" ht="13" x14ac:dyDescent="0.3">
      <c r="A24" s="35"/>
      <c r="E24" s="35"/>
      <c r="F24" s="4" t="s">
        <v>32</v>
      </c>
      <c r="G24" s="4">
        <v>150</v>
      </c>
      <c r="H24" s="35"/>
      <c r="I24" s="35"/>
      <c r="J24" s="35"/>
      <c r="L24" s="29"/>
      <c r="M24" s="35"/>
      <c r="N24" s="35"/>
    </row>
    <row r="25" spans="1:14" x14ac:dyDescent="0.25">
      <c r="A25" s="35"/>
      <c r="E25" s="35"/>
      <c r="F25" s="3" t="s">
        <v>33</v>
      </c>
      <c r="G25" s="35">
        <v>150</v>
      </c>
      <c r="H25" s="35"/>
      <c r="I25" s="35"/>
      <c r="J25" s="35"/>
      <c r="L25" s="2"/>
      <c r="M25" s="35"/>
      <c r="N25" s="35"/>
    </row>
    <row r="26" spans="1:14" x14ac:dyDescent="0.25">
      <c r="A26" s="35"/>
      <c r="B26" s="19"/>
      <c r="C26" s="35"/>
      <c r="E26" s="35"/>
      <c r="F26" s="3" t="s">
        <v>34</v>
      </c>
      <c r="G26" s="35">
        <f>125.27/3</f>
        <v>41.756666666666668</v>
      </c>
      <c r="H26" s="35" t="s">
        <v>35</v>
      </c>
      <c r="I26" s="35"/>
      <c r="J26" s="35"/>
      <c r="L26" s="2"/>
      <c r="M26" s="35"/>
      <c r="N26" s="35"/>
    </row>
    <row r="27" spans="1:14" s="35" customFormat="1" ht="13" x14ac:dyDescent="0.3">
      <c r="F27" s="4" t="s">
        <v>36</v>
      </c>
      <c r="G27" s="4">
        <v>109</v>
      </c>
      <c r="H27" s="2"/>
      <c r="L27" s="2"/>
    </row>
    <row r="28" spans="1:14" s="28" customFormat="1" ht="13" x14ac:dyDescent="0.3">
      <c r="A28" s="2"/>
      <c r="E28" s="35"/>
      <c r="F28" s="4" t="s">
        <v>37</v>
      </c>
      <c r="G28" s="4">
        <v>120</v>
      </c>
      <c r="H28" s="35" t="s">
        <v>38</v>
      </c>
      <c r="I28" s="35"/>
      <c r="J28" s="35"/>
      <c r="K28" s="35"/>
      <c r="L28" s="35"/>
      <c r="M28" s="35"/>
      <c r="N28" s="35"/>
    </row>
    <row r="29" spans="1:14" s="35" customFormat="1" ht="13" x14ac:dyDescent="0.3">
      <c r="A29" s="2"/>
      <c r="F29" s="4" t="s">
        <v>39</v>
      </c>
      <c r="G29" s="4">
        <v>29</v>
      </c>
      <c r="K29" s="4"/>
      <c r="L29" s="2"/>
    </row>
    <row r="30" spans="1:14" s="35" customFormat="1" ht="13" x14ac:dyDescent="0.3">
      <c r="A30" s="2"/>
      <c r="E30" s="4"/>
      <c r="F30" s="35" t="s">
        <v>40</v>
      </c>
      <c r="G30" s="35">
        <f>200</f>
        <v>200</v>
      </c>
      <c r="K30" s="4"/>
      <c r="L30" s="2"/>
    </row>
    <row r="31" spans="1:14" s="35" customFormat="1" x14ac:dyDescent="0.25">
      <c r="A31" s="2"/>
      <c r="F31" s="35" t="s">
        <v>11</v>
      </c>
      <c r="G31" s="35">
        <f>200</f>
        <v>200</v>
      </c>
      <c r="L31" s="2"/>
    </row>
    <row r="32" spans="1:14" s="35" customFormat="1" ht="13" x14ac:dyDescent="0.3">
      <c r="F32" s="35" t="s">
        <v>41</v>
      </c>
      <c r="G32" s="35">
        <f>500</f>
        <v>500</v>
      </c>
      <c r="L32" s="2"/>
      <c r="M32" s="4"/>
    </row>
    <row r="33" spans="1:14" s="35" customFormat="1" ht="13" x14ac:dyDescent="0.3">
      <c r="A33" s="2"/>
      <c r="F33" s="35" t="s">
        <v>14</v>
      </c>
      <c r="G33" s="35">
        <v>400</v>
      </c>
      <c r="L33" s="2"/>
      <c r="M33" s="4"/>
    </row>
    <row r="34" spans="1:14" s="28" customFormat="1" ht="13" x14ac:dyDescent="0.3">
      <c r="A34" s="2"/>
      <c r="B34" s="4"/>
      <c r="C34" s="35"/>
      <c r="D34" s="35"/>
      <c r="E34" s="35"/>
      <c r="F34" s="35"/>
      <c r="G34" s="35"/>
      <c r="H34" s="35"/>
      <c r="I34" s="35"/>
      <c r="J34" s="35"/>
      <c r="K34" s="4"/>
      <c r="L34" s="2"/>
      <c r="M34" s="35"/>
      <c r="N34" s="35"/>
    </row>
    <row r="35" spans="1:14" s="28" customFormat="1" ht="13" x14ac:dyDescent="0.3">
      <c r="A35" s="2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4"/>
      <c r="M35" s="35"/>
      <c r="N35" s="35"/>
    </row>
    <row r="36" spans="1:14" ht="13" x14ac:dyDescent="0.3">
      <c r="A36" s="2"/>
      <c r="B36" s="4"/>
      <c r="C36" s="35"/>
      <c r="D36" s="35"/>
      <c r="E36" s="35"/>
      <c r="F36" s="35"/>
      <c r="G36" s="2"/>
      <c r="H36" s="35"/>
      <c r="I36" s="35"/>
      <c r="J36" s="35"/>
      <c r="L36" s="35"/>
      <c r="M36" s="35"/>
      <c r="N36" s="35"/>
    </row>
    <row r="37" spans="1:14" ht="13" x14ac:dyDescent="0.3">
      <c r="A37" s="2"/>
      <c r="B37" s="4"/>
      <c r="C37" s="35"/>
      <c r="D37" s="34"/>
      <c r="E37" s="35"/>
      <c r="F37" s="35"/>
      <c r="G37" s="4" t="s">
        <v>42</v>
      </c>
      <c r="H37" s="35">
        <f>H2</f>
        <v>22583.32</v>
      </c>
      <c r="I37" s="35"/>
      <c r="J37" s="35"/>
      <c r="L37" s="35"/>
      <c r="M37" s="35"/>
      <c r="N37" s="35"/>
    </row>
    <row r="38" spans="1:14" ht="13" x14ac:dyDescent="0.3">
      <c r="A38" s="35"/>
      <c r="B38" s="35"/>
      <c r="C38" s="35"/>
      <c r="D38" s="35"/>
      <c r="E38" s="35"/>
      <c r="F38" s="35"/>
      <c r="G38" s="43"/>
      <c r="H38" s="37"/>
      <c r="I38" s="35"/>
      <c r="J38" s="35"/>
      <c r="K38" s="4"/>
      <c r="L38" s="35"/>
      <c r="M38" s="35"/>
      <c r="N38" s="35"/>
    </row>
    <row r="39" spans="1:14" ht="13" x14ac:dyDescent="0.3">
      <c r="A39" s="35" t="s">
        <v>43</v>
      </c>
      <c r="B39" s="35"/>
      <c r="C39" s="35"/>
      <c r="D39" s="7"/>
      <c r="E39" s="35">
        <f>E40+E110+E19</f>
        <v>8516.16</v>
      </c>
      <c r="F39" s="7"/>
      <c r="G39" s="35"/>
      <c r="H39" s="35"/>
      <c r="I39" s="35"/>
      <c r="J39" s="35"/>
      <c r="K39" s="4"/>
      <c r="L39" s="4"/>
      <c r="M39" s="35"/>
      <c r="N39" s="35"/>
    </row>
    <row r="40" spans="1:14" x14ac:dyDescent="0.25">
      <c r="A40" s="35"/>
      <c r="B40" s="35" t="s">
        <v>9</v>
      </c>
      <c r="C40" s="35"/>
      <c r="D40" s="64">
        <f>5856.5-SUM(D41:D107)+953.24+1046.76+400+2400+1000</f>
        <v>4828.33</v>
      </c>
      <c r="E40" s="35">
        <f>SUM(D41:D108)</f>
        <v>6828.17</v>
      </c>
      <c r="F40" s="7"/>
      <c r="G40" s="35"/>
      <c r="H40" s="35"/>
      <c r="I40" s="35"/>
      <c r="J40" s="35"/>
      <c r="L40" s="35"/>
      <c r="M40" s="35"/>
      <c r="N40" s="35"/>
    </row>
    <row r="41" spans="1:14" x14ac:dyDescent="0.25">
      <c r="A41" s="35"/>
      <c r="B41" s="35" t="s">
        <v>323</v>
      </c>
      <c r="D41" s="64">
        <v>3428.64</v>
      </c>
      <c r="E41" s="7"/>
      <c r="F41" s="7">
        <f>SUM(F42:F52)</f>
        <v>1104.95</v>
      </c>
      <c r="G41" s="35"/>
      <c r="H41" s="35"/>
      <c r="I41" s="35"/>
      <c r="J41" s="35"/>
      <c r="L41" s="35"/>
      <c r="M41" s="35"/>
      <c r="N41" s="35"/>
    </row>
    <row r="42" spans="1:14" ht="13" x14ac:dyDescent="0.3">
      <c r="A42" s="35"/>
      <c r="B42" s="2" t="s">
        <v>344</v>
      </c>
      <c r="D42" s="4">
        <f>500</f>
        <v>500</v>
      </c>
      <c r="F42" s="35">
        <f>643.9-500+1000-1000+1000-1000+35.26</f>
        <v>179.16000000000008</v>
      </c>
      <c r="G42" s="35"/>
      <c r="H42" s="7"/>
      <c r="I42" s="35"/>
      <c r="J42" s="35"/>
      <c r="L42" s="35"/>
      <c r="M42" s="35"/>
      <c r="N42" s="35"/>
    </row>
    <row r="43" spans="1:14" x14ac:dyDescent="0.25">
      <c r="A43" s="35"/>
      <c r="B43" s="2" t="s">
        <v>345</v>
      </c>
      <c r="D43" s="35">
        <v>500</v>
      </c>
      <c r="F43" s="35">
        <f>168.79+3.46+2269.46-44.34-2000-150+1000+2389.73-3428.64-144+2400-500-500-600-200-112.1-200+300-300-125-18.43+2400+1000+400-3428.64-400+70</f>
        <v>250.28999999999996</v>
      </c>
      <c r="G43" s="35"/>
      <c r="H43" s="35"/>
      <c r="I43" s="7"/>
      <c r="J43" s="7"/>
      <c r="K43" s="7"/>
      <c r="L43" s="7"/>
      <c r="M43" s="7"/>
      <c r="N43" s="35"/>
    </row>
    <row r="44" spans="1:14" x14ac:dyDescent="0.25">
      <c r="A44" s="35"/>
      <c r="B44" s="2" t="s">
        <v>346</v>
      </c>
      <c r="D44" s="35">
        <v>144</v>
      </c>
      <c r="F44" s="35">
        <v>341</v>
      </c>
      <c r="G44" s="35">
        <f>450.61+554.03+679.84+491.94+674.17+577.01+667.61</f>
        <v>4095.2100000000005</v>
      </c>
      <c r="H44" s="35"/>
      <c r="I44" s="35"/>
      <c r="J44" s="35"/>
      <c r="L44" s="35"/>
      <c r="M44" s="35"/>
      <c r="N44" s="35"/>
    </row>
    <row r="45" spans="1:14" x14ac:dyDescent="0.25">
      <c r="A45" s="35"/>
      <c r="B45" s="2" t="s">
        <v>347</v>
      </c>
      <c r="D45" s="35">
        <v>600</v>
      </c>
      <c r="F45" s="35">
        <v>334.5</v>
      </c>
      <c r="G45" s="13"/>
      <c r="H45" s="35"/>
      <c r="I45" s="35"/>
      <c r="J45" s="35"/>
      <c r="L45" s="35"/>
      <c r="M45" s="35"/>
      <c r="N45" s="35"/>
    </row>
    <row r="46" spans="1:14" x14ac:dyDescent="0.25">
      <c r="A46" s="35"/>
      <c r="B46" s="2" t="s">
        <v>348</v>
      </c>
      <c r="D46" s="35">
        <v>200</v>
      </c>
      <c r="E46" s="7"/>
      <c r="F46" s="35"/>
      <c r="G46" s="13"/>
      <c r="H46" s="35"/>
      <c r="I46" s="35"/>
      <c r="J46" s="35"/>
      <c r="L46" s="35"/>
      <c r="M46" s="35"/>
      <c r="N46" s="35"/>
    </row>
    <row r="47" spans="1:14" x14ac:dyDescent="0.25">
      <c r="A47" s="35"/>
      <c r="B47" s="2" t="s">
        <v>349</v>
      </c>
      <c r="D47" s="35">
        <v>200</v>
      </c>
      <c r="E47" s="35"/>
      <c r="F47" s="13"/>
      <c r="H47" s="13"/>
      <c r="I47" s="35"/>
      <c r="J47" s="35"/>
      <c r="L47" s="35"/>
      <c r="M47" s="35"/>
      <c r="N47" s="35"/>
    </row>
    <row r="48" spans="1:14" s="35" customFormat="1" x14ac:dyDescent="0.25">
      <c r="B48" s="35" t="s">
        <v>350</v>
      </c>
      <c r="D48" s="35">
        <v>112.1</v>
      </c>
      <c r="G48" s="7"/>
    </row>
    <row r="49" spans="1:12" s="35" customFormat="1" x14ac:dyDescent="0.25">
      <c r="B49" s="2" t="s">
        <v>351</v>
      </c>
      <c r="D49" s="35">
        <v>1000</v>
      </c>
      <c r="G49" s="13"/>
    </row>
    <row r="50" spans="1:12" s="35" customFormat="1" x14ac:dyDescent="0.25">
      <c r="B50" s="2" t="s">
        <v>356</v>
      </c>
      <c r="D50" s="35">
        <v>125</v>
      </c>
      <c r="G50" s="44"/>
    </row>
    <row r="51" spans="1:12" x14ac:dyDescent="0.25">
      <c r="A51" s="35"/>
      <c r="B51" s="2" t="s">
        <v>371</v>
      </c>
      <c r="D51">
        <v>18.43</v>
      </c>
      <c r="E51" s="35"/>
      <c r="F51" s="35"/>
      <c r="G51" s="37"/>
      <c r="H51" s="35"/>
      <c r="I51" s="35"/>
      <c r="J51" s="35"/>
      <c r="L51" s="35"/>
    </row>
    <row r="52" spans="1:12" x14ac:dyDescent="0.25">
      <c r="A52" s="35"/>
      <c r="E52" s="35"/>
      <c r="F52" s="35"/>
      <c r="G52" s="36"/>
      <c r="H52" s="35"/>
      <c r="I52" s="35"/>
      <c r="J52" s="35"/>
      <c r="L52" s="35"/>
    </row>
    <row r="53" spans="1:12" s="35" customFormat="1" x14ac:dyDescent="0.25">
      <c r="B53" s="35" t="s">
        <v>404</v>
      </c>
      <c r="C53" s="64">
        <v>3428.64</v>
      </c>
      <c r="G53" s="37"/>
    </row>
    <row r="54" spans="1:12" s="35" customFormat="1" x14ac:dyDescent="0.25">
      <c r="B54" s="2" t="s">
        <v>405</v>
      </c>
      <c r="C54" s="35">
        <v>400</v>
      </c>
      <c r="E54" s="2"/>
      <c r="G54" s="2"/>
    </row>
    <row r="55" spans="1:12" s="35" customFormat="1" x14ac:dyDescent="0.25">
      <c r="E55" s="2"/>
      <c r="F55" s="2"/>
      <c r="G55" s="2"/>
    </row>
    <row r="56" spans="1:12" s="35" customFormat="1" x14ac:dyDescent="0.25">
      <c r="E56" s="2"/>
    </row>
    <row r="57" spans="1:12" s="35" customFormat="1" x14ac:dyDescent="0.25">
      <c r="E57" s="2"/>
    </row>
    <row r="58" spans="1:12" s="35" customFormat="1" x14ac:dyDescent="0.25">
      <c r="E58" s="2"/>
    </row>
    <row r="59" spans="1:12" s="35" customFormat="1" x14ac:dyDescent="0.25">
      <c r="E59" s="2"/>
    </row>
    <row r="60" spans="1:12" s="35" customFormat="1" x14ac:dyDescent="0.25">
      <c r="E60" s="2"/>
    </row>
    <row r="61" spans="1:12" s="35" customFormat="1" x14ac:dyDescent="0.25">
      <c r="E61" s="2"/>
    </row>
    <row r="62" spans="1:12" s="35" customFormat="1" x14ac:dyDescent="0.25">
      <c r="E62" s="2"/>
    </row>
    <row r="63" spans="1:12" s="35" customFormat="1" x14ac:dyDescent="0.25">
      <c r="E63" s="2"/>
    </row>
    <row r="64" spans="1:12" s="35" customFormat="1" x14ac:dyDescent="0.25">
      <c r="E64" s="2"/>
    </row>
    <row r="65" spans="1:12" ht="13" x14ac:dyDescent="0.3">
      <c r="A65" s="4" t="s">
        <v>44</v>
      </c>
      <c r="B65" s="4"/>
      <c r="C65" s="35"/>
      <c r="D65" s="4">
        <f>SUM(D66:D74)</f>
        <v>0</v>
      </c>
      <c r="E65" s="2"/>
      <c r="F65" s="2"/>
      <c r="G65" s="2"/>
      <c r="H65" s="35"/>
      <c r="I65" s="35"/>
      <c r="J65" s="35"/>
      <c r="L65" s="35"/>
    </row>
    <row r="66" spans="1:12" x14ac:dyDescent="0.25">
      <c r="A66" s="35"/>
      <c r="E66" s="2"/>
      <c r="F66" s="35"/>
      <c r="G66" s="2"/>
      <c r="H66" s="35"/>
      <c r="I66" s="35"/>
      <c r="J66" s="35"/>
      <c r="L66" s="35"/>
    </row>
    <row r="67" spans="1:12" x14ac:dyDescent="0.25">
      <c r="A67" s="35"/>
      <c r="E67" s="35"/>
      <c r="F67" s="35"/>
      <c r="G67" s="35"/>
      <c r="H67" s="35"/>
      <c r="I67" s="35"/>
      <c r="J67" s="35"/>
      <c r="L67" s="35"/>
    </row>
    <row r="68" spans="1:12" s="25" customFormat="1" x14ac:dyDescent="0.25">
      <c r="A68" s="35"/>
      <c r="B68" s="35"/>
      <c r="C68" s="35"/>
      <c r="E68" s="35"/>
      <c r="F68" s="35"/>
      <c r="G68" s="35"/>
      <c r="H68" s="35"/>
      <c r="I68" s="35"/>
      <c r="J68" s="35"/>
      <c r="K68" s="35"/>
      <c r="L68" s="35"/>
    </row>
    <row r="69" spans="1:12" s="30" customFormat="1" x14ac:dyDescent="0.25">
      <c r="A69" s="35"/>
      <c r="B69" s="35"/>
      <c r="C69" s="35"/>
      <c r="E69" s="35"/>
      <c r="F69" s="35"/>
      <c r="G69" s="35"/>
      <c r="H69" s="35"/>
      <c r="I69" s="35"/>
      <c r="J69" s="35"/>
      <c r="K69" s="35"/>
      <c r="L69" s="35"/>
    </row>
    <row r="70" spans="1:12" s="31" customForma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s="31" customFormat="1" x14ac:dyDescent="0.25">
      <c r="A71" s="35"/>
      <c r="B71" s="35"/>
      <c r="C71" s="35"/>
      <c r="E71" s="35"/>
      <c r="F71" s="35"/>
      <c r="G71" s="35"/>
      <c r="H71" s="35"/>
      <c r="I71" s="35"/>
      <c r="J71" s="35"/>
      <c r="K71" s="35"/>
      <c r="L71" s="35"/>
    </row>
    <row r="72" spans="1:12" s="31" customForma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</row>
    <row r="73" spans="1:12" s="32" customForma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</row>
    <row r="74" spans="1:12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L74" s="35"/>
    </row>
    <row r="75" spans="1:12" s="27" customFormat="1" x14ac:dyDescent="0.25">
      <c r="A75" s="35"/>
      <c r="B75" s="2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s="27" customForma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</row>
    <row r="77" spans="1:12" s="27" customFormat="1" ht="13" x14ac:dyDescent="0.3">
      <c r="A77" s="4" t="s">
        <v>45</v>
      </c>
      <c r="B77" s="35"/>
      <c r="C77" s="4">
        <f>SUM(D78:D92)</f>
        <v>0</v>
      </c>
      <c r="D77" s="35"/>
      <c r="E77" s="35"/>
      <c r="F77" s="35"/>
      <c r="G77" s="35"/>
      <c r="H77" s="35"/>
      <c r="I77" s="35"/>
      <c r="J77" s="35"/>
      <c r="K77" s="35"/>
      <c r="L77" s="35"/>
    </row>
    <row r="78" spans="1:12" s="28" customForma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</row>
    <row r="79" spans="1:12" s="28" customForma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spans="1:12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L80" s="35"/>
    </row>
    <row r="81" spans="1:12" ht="13" x14ac:dyDescent="0.3">
      <c r="A81" s="35"/>
      <c r="B81" s="35"/>
      <c r="C81" s="35"/>
      <c r="D81" s="35"/>
      <c r="E81" s="4"/>
      <c r="F81" s="35"/>
      <c r="G81" s="35"/>
      <c r="H81" s="35"/>
      <c r="I81" s="35"/>
      <c r="J81" s="35"/>
      <c r="L81" s="35"/>
    </row>
    <row r="82" spans="1:12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L82" s="35"/>
    </row>
    <row r="83" spans="1:12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L83" s="35"/>
    </row>
    <row r="84" spans="1:12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L84" s="35"/>
    </row>
    <row r="87" spans="1:12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L87" s="35"/>
    </row>
    <row r="88" spans="1:12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L88" s="35"/>
    </row>
    <row r="89" spans="1:12" x14ac:dyDescent="0.25">
      <c r="A89" s="35"/>
      <c r="B89" s="35"/>
      <c r="C89" s="35"/>
      <c r="D89" s="35"/>
      <c r="E89" s="35"/>
    </row>
    <row r="90" spans="1:12" x14ac:dyDescent="0.25">
      <c r="A90" s="35"/>
      <c r="B90" s="35"/>
      <c r="C90" s="35"/>
      <c r="D90" s="35"/>
      <c r="E90" s="35"/>
    </row>
    <row r="91" spans="1:12" s="35" customFormat="1" x14ac:dyDescent="0.25"/>
    <row r="92" spans="1:12" s="35" customFormat="1" x14ac:dyDescent="0.25"/>
    <row r="93" spans="1:12" ht="13" x14ac:dyDescent="0.3">
      <c r="A93" s="2" t="s">
        <v>46</v>
      </c>
      <c r="B93" s="35"/>
      <c r="C93" s="4">
        <f>SUM(D94:D109)</f>
        <v>0</v>
      </c>
      <c r="D93" s="35"/>
      <c r="E93" s="35"/>
    </row>
    <row r="94" spans="1:12" x14ac:dyDescent="0.25">
      <c r="A94" s="35"/>
      <c r="B94" s="35"/>
      <c r="D94" s="35"/>
      <c r="E94" s="35"/>
    </row>
    <row r="95" spans="1:12" x14ac:dyDescent="0.25">
      <c r="A95" s="35"/>
      <c r="B95" s="35"/>
      <c r="D95" s="35"/>
      <c r="E95" s="35"/>
    </row>
    <row r="96" spans="1:12" x14ac:dyDescent="0.25">
      <c r="A96" s="35"/>
      <c r="B96" s="35"/>
      <c r="D96" s="35"/>
      <c r="E96" s="35"/>
    </row>
    <row r="97" spans="1:5" s="35" customFormat="1" x14ac:dyDescent="0.25"/>
    <row r="98" spans="1:5" s="35" customFormat="1" x14ac:dyDescent="0.25"/>
    <row r="99" spans="1:5" s="35" customFormat="1" x14ac:dyDescent="0.25"/>
    <row r="100" spans="1:5" s="35" customFormat="1" x14ac:dyDescent="0.25"/>
    <row r="101" spans="1:5" s="35" customFormat="1" x14ac:dyDescent="0.25">
      <c r="B101" s="2"/>
      <c r="D101" s="3"/>
    </row>
    <row r="102" spans="1:5" s="35" customFormat="1" ht="13" x14ac:dyDescent="0.3">
      <c r="A102" s="4"/>
    </row>
    <row r="103" spans="1:5" s="35" customFormat="1" x14ac:dyDescent="0.25"/>
    <row r="104" spans="1:5" s="35" customFormat="1" x14ac:dyDescent="0.25"/>
    <row r="105" spans="1:5" s="35" customFormat="1" x14ac:dyDescent="0.25">
      <c r="B105" s="2"/>
    </row>
    <row r="106" spans="1:5" s="35" customFormat="1" x14ac:dyDescent="0.25">
      <c r="B106" s="2"/>
    </row>
    <row r="107" spans="1:5" s="35" customFormat="1" x14ac:dyDescent="0.25">
      <c r="B107" s="2"/>
    </row>
    <row r="108" spans="1:5" s="35" customFormat="1" x14ac:dyDescent="0.25"/>
    <row r="109" spans="1:5" x14ac:dyDescent="0.25">
      <c r="A109" s="35" t="s">
        <v>47</v>
      </c>
      <c r="B109" s="35"/>
      <c r="C109" s="35"/>
      <c r="D109" s="35"/>
      <c r="E109" s="35"/>
    </row>
    <row r="110" spans="1:5" x14ac:dyDescent="0.25">
      <c r="A110" s="35"/>
      <c r="B110" s="35" t="s">
        <v>9</v>
      </c>
      <c r="C110" s="35"/>
      <c r="D110" s="35">
        <f>335-SUM(D111:D143)</f>
        <v>75</v>
      </c>
      <c r="E110" s="35">
        <f>SUM(D111:D146)</f>
        <v>260</v>
      </c>
    </row>
    <row r="111" spans="1:5" ht="13" x14ac:dyDescent="0.3">
      <c r="A111" s="35"/>
      <c r="B111" s="3" t="s">
        <v>355</v>
      </c>
      <c r="D111" s="4">
        <v>260</v>
      </c>
      <c r="E111" s="35"/>
    </row>
    <row r="112" spans="1:5" x14ac:dyDescent="0.25">
      <c r="A112" s="35"/>
      <c r="B112" s="3"/>
      <c r="E112" s="35"/>
    </row>
    <row r="113" spans="1:5" ht="13" x14ac:dyDescent="0.3">
      <c r="A113" s="35"/>
      <c r="C113" s="4"/>
      <c r="E113" s="35"/>
    </row>
    <row r="114" spans="1:5" ht="13" x14ac:dyDescent="0.3">
      <c r="A114" s="35"/>
      <c r="B114" s="4"/>
      <c r="C114" s="35"/>
      <c r="D114" s="4"/>
      <c r="E114" s="35"/>
    </row>
    <row r="115" spans="1:5" ht="13" x14ac:dyDescent="0.3">
      <c r="A115" s="35"/>
      <c r="B115" s="4"/>
      <c r="C115" s="35"/>
      <c r="D115" s="4"/>
      <c r="E115" s="35"/>
    </row>
    <row r="116" spans="1:5" ht="13" x14ac:dyDescent="0.3">
      <c r="A116" s="35"/>
      <c r="B116" s="4"/>
      <c r="C116" s="35"/>
      <c r="D116" s="4"/>
      <c r="E116" s="35"/>
    </row>
    <row r="117" spans="1:5" ht="13" x14ac:dyDescent="0.3">
      <c r="A117" s="35"/>
      <c r="B117" s="4"/>
      <c r="C117" s="35"/>
      <c r="D117" s="4"/>
      <c r="E117" s="35"/>
    </row>
    <row r="118" spans="1:5" ht="13" x14ac:dyDescent="0.3">
      <c r="A118" s="35"/>
      <c r="B118" s="4"/>
      <c r="C118" s="35"/>
      <c r="D118" s="4"/>
      <c r="E118" s="35"/>
    </row>
    <row r="119" spans="1:5" ht="13" x14ac:dyDescent="0.3">
      <c r="A119" s="35" t="s">
        <v>48</v>
      </c>
      <c r="B119" s="4"/>
      <c r="C119" s="35"/>
      <c r="D119" s="4"/>
      <c r="E119" s="35"/>
    </row>
    <row r="121" spans="1:5" ht="13" x14ac:dyDescent="0.3">
      <c r="B121" s="4"/>
      <c r="C121" s="35"/>
      <c r="D121" s="4"/>
    </row>
    <row r="122" spans="1:5" ht="13" x14ac:dyDescent="0.3">
      <c r="B122" s="4"/>
      <c r="C122" s="35"/>
      <c r="D122" s="4"/>
    </row>
    <row r="123" spans="1:5" ht="13" x14ac:dyDescent="0.3">
      <c r="B123" s="4"/>
      <c r="C123" s="35"/>
      <c r="D123" s="4"/>
    </row>
    <row r="124" spans="1:5" ht="13" x14ac:dyDescent="0.3">
      <c r="B124" s="4"/>
      <c r="C124" s="35"/>
      <c r="D124" s="4"/>
    </row>
    <row r="141" spans="1:6" x14ac:dyDescent="0.25">
      <c r="A141" s="35"/>
      <c r="B141" s="35"/>
      <c r="C141" s="35"/>
      <c r="D141" s="35"/>
      <c r="E141" s="35" t="s">
        <v>49</v>
      </c>
      <c r="F141" s="35">
        <f>E40+E110+E19</f>
        <v>8516.16</v>
      </c>
    </row>
    <row r="143" spans="1:6" ht="13" x14ac:dyDescent="0.3">
      <c r="A143" s="4"/>
      <c r="B143" s="35"/>
      <c r="C143" s="35"/>
      <c r="D143" s="35"/>
      <c r="E143" s="35"/>
      <c r="F143" s="35"/>
    </row>
  </sheetData>
  <mergeCells count="2">
    <mergeCell ref="A1:F1"/>
    <mergeCell ref="A2:B2"/>
  </mergeCells>
  <phoneticPr fontId="14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46" sqref="B46"/>
    </sheetView>
  </sheetViews>
  <sheetFormatPr defaultRowHeight="12.5" x14ac:dyDescent="0.25"/>
  <cols>
    <col min="1" max="1" width="30.54296875" bestFit="1" customWidth="1"/>
    <col min="2" max="2" width="22.36328125" customWidth="1"/>
    <col min="3" max="3" width="13.36328125" bestFit="1" customWidth="1"/>
    <col min="4" max="4" width="28.54296875" customWidth="1"/>
  </cols>
  <sheetData>
    <row r="1" spans="1:10" s="35" customFormat="1" ht="13" x14ac:dyDescent="0.3">
      <c r="B1" s="65" t="s">
        <v>106</v>
      </c>
      <c r="C1" s="65" t="s">
        <v>297</v>
      </c>
      <c r="D1" s="66"/>
    </row>
    <row r="2" spans="1:10" ht="13" x14ac:dyDescent="0.3">
      <c r="A2" s="2" t="s">
        <v>293</v>
      </c>
      <c r="B2" s="74">
        <f>700000</f>
        <v>700000</v>
      </c>
      <c r="C2">
        <f>B2/63.22</f>
        <v>11072.445428661817</v>
      </c>
      <c r="I2" t="s">
        <v>303</v>
      </c>
      <c r="J2">
        <v>3817.44</v>
      </c>
    </row>
    <row r="3" spans="1:10" s="35" customFormat="1" ht="13" x14ac:dyDescent="0.3">
      <c r="A3" s="2" t="s">
        <v>296</v>
      </c>
      <c r="B3" s="72">
        <f>B2-B4</f>
        <v>453559.16000000003</v>
      </c>
      <c r="C3" s="72">
        <f>C2-C4</f>
        <v>7172.4454286618165</v>
      </c>
      <c r="I3" s="35" t="s">
        <v>304</v>
      </c>
      <c r="J3" s="35">
        <v>38</v>
      </c>
    </row>
    <row r="4" spans="1:10" s="35" customFormat="1" ht="13" x14ac:dyDescent="0.3">
      <c r="A4" s="2" t="s">
        <v>295</v>
      </c>
      <c r="B4" s="73">
        <f>SUM(B5:B16)</f>
        <v>246440.84</v>
      </c>
      <c r="C4" s="73">
        <f>SUM(C5:C16)</f>
        <v>3900</v>
      </c>
    </row>
    <row r="5" spans="1:10" s="35" customFormat="1" x14ac:dyDescent="0.25">
      <c r="A5" s="2" t="s">
        <v>294</v>
      </c>
      <c r="B5" s="35">
        <v>126236.2</v>
      </c>
      <c r="C5" s="35">
        <v>2000</v>
      </c>
    </row>
    <row r="6" spans="1:10" ht="14.5" x14ac:dyDescent="0.35">
      <c r="A6" s="2" t="s">
        <v>302</v>
      </c>
      <c r="B6" s="56">
        <v>120204.64</v>
      </c>
      <c r="C6">
        <v>1900</v>
      </c>
    </row>
    <row r="8" spans="1:10" x14ac:dyDescent="0.25">
      <c r="C8" s="35"/>
      <c r="D8" s="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93" zoomScale="85" zoomScaleNormal="85" workbookViewId="0">
      <selection activeCell="B108" sqref="B108:B122"/>
    </sheetView>
  </sheetViews>
  <sheetFormatPr defaultRowHeight="12.5" x14ac:dyDescent="0.25"/>
  <cols>
    <col min="1" max="1" width="53" bestFit="1" customWidth="1"/>
    <col min="4" max="4" width="9.08984375" customWidth="1"/>
    <col min="5" max="5" width="12.453125" bestFit="1" customWidth="1"/>
    <col min="6" max="6" width="47.90625" customWidth="1"/>
  </cols>
  <sheetData>
    <row r="1" spans="1:10" x14ac:dyDescent="0.25">
      <c r="A1" s="78"/>
      <c r="B1" s="78"/>
      <c r="C1" s="78"/>
      <c r="D1" s="78"/>
      <c r="E1" s="78"/>
      <c r="F1" s="35"/>
      <c r="G1" s="35"/>
      <c r="H1" s="35"/>
      <c r="I1" s="35"/>
      <c r="J1" s="35"/>
    </row>
    <row r="2" spans="1:10" x14ac:dyDescent="0.25">
      <c r="A2" s="35" t="s">
        <v>50</v>
      </c>
      <c r="B2" s="35"/>
      <c r="C2" s="35">
        <f>D5+I5</f>
        <v>9446.84</v>
      </c>
      <c r="D2" s="35"/>
      <c r="E2" s="35"/>
      <c r="F2" s="35"/>
      <c r="G2" s="35"/>
      <c r="H2" s="35"/>
      <c r="I2" s="35"/>
      <c r="J2" s="35"/>
    </row>
    <row r="3" spans="1:10" ht="13" x14ac:dyDescent="0.3">
      <c r="A3" s="35"/>
      <c r="B3" s="4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 t="s">
        <v>14</v>
      </c>
      <c r="B4" s="35"/>
      <c r="C4" s="35"/>
      <c r="D4" s="35"/>
      <c r="E4" s="35"/>
      <c r="F4" s="35" t="s">
        <v>11</v>
      </c>
      <c r="G4" s="35"/>
      <c r="H4" s="35"/>
      <c r="I4" s="35"/>
      <c r="J4" s="35"/>
    </row>
    <row r="5" spans="1:10" x14ac:dyDescent="0.25">
      <c r="A5" s="35" t="s">
        <v>51</v>
      </c>
      <c r="B5" s="35"/>
      <c r="C5" s="35">
        <f>11900-(B7+B39+B59+B93)-B104</f>
        <v>3784.6800000000003</v>
      </c>
      <c r="D5" s="35">
        <f>11900-C5</f>
        <v>8115.32</v>
      </c>
      <c r="E5" s="35">
        <f>D5-C60</f>
        <v>1001.4799999999996</v>
      </c>
      <c r="F5" s="35" t="s">
        <v>51</v>
      </c>
      <c r="G5" s="35"/>
      <c r="H5" s="35">
        <f>3600-(G7+G39+G59+G93)-G104</f>
        <v>2268.48</v>
      </c>
      <c r="I5" s="35">
        <f>3600-H5</f>
        <v>1331.52</v>
      </c>
      <c r="J5" s="35">
        <f>I5-H60</f>
        <v>18.869999999999891</v>
      </c>
    </row>
    <row r="6" spans="1:10" s="6" customFormat="1" ht="13" x14ac:dyDescent="0.3">
      <c r="A6" s="4" t="s">
        <v>52</v>
      </c>
      <c r="B6" s="4">
        <f>500-B7</f>
        <v>-34.480000000000132</v>
      </c>
      <c r="C6" s="35"/>
      <c r="D6" s="35"/>
      <c r="E6" s="35"/>
      <c r="F6" s="4" t="s">
        <v>52</v>
      </c>
      <c r="G6" s="4">
        <f>450-G7</f>
        <v>450</v>
      </c>
      <c r="H6" s="35"/>
      <c r="I6" s="35"/>
      <c r="J6" s="35"/>
    </row>
    <row r="7" spans="1:10" x14ac:dyDescent="0.25">
      <c r="A7" s="35" t="s">
        <v>44</v>
      </c>
      <c r="B7" s="35">
        <f>SUM(C8:C37)</f>
        <v>534.48000000000013</v>
      </c>
      <c r="C7" s="35"/>
      <c r="D7" s="35"/>
      <c r="E7" s="35"/>
      <c r="F7" s="35" t="s">
        <v>44</v>
      </c>
      <c r="G7" s="35">
        <f>SUM(H8:H35)</f>
        <v>0</v>
      </c>
      <c r="H7" s="35">
        <f>SUM(I8:I23)</f>
        <v>0</v>
      </c>
      <c r="I7" s="35"/>
      <c r="J7" s="35"/>
    </row>
    <row r="8" spans="1:10" ht="13" x14ac:dyDescent="0.3">
      <c r="A8" t="s">
        <v>311</v>
      </c>
      <c r="C8" s="4">
        <v>42.99</v>
      </c>
      <c r="D8" s="35"/>
      <c r="E8" s="35"/>
      <c r="F8" s="35"/>
      <c r="G8" s="35"/>
      <c r="H8" s="35"/>
      <c r="I8" s="35"/>
      <c r="J8" s="35"/>
    </row>
    <row r="9" spans="1:10" ht="13" x14ac:dyDescent="0.3">
      <c r="A9" s="35" t="s">
        <v>313</v>
      </c>
      <c r="C9" s="4">
        <v>80.319999999999993</v>
      </c>
      <c r="D9" s="35"/>
      <c r="E9" s="35"/>
      <c r="F9" s="35"/>
      <c r="G9" s="35"/>
      <c r="H9" s="35"/>
      <c r="I9" s="35"/>
      <c r="J9" s="35"/>
    </row>
    <row r="10" spans="1:10" ht="13" x14ac:dyDescent="0.3">
      <c r="A10" s="35" t="s">
        <v>327</v>
      </c>
      <c r="C10" s="4">
        <v>20.97</v>
      </c>
      <c r="D10" s="35"/>
      <c r="E10" s="35"/>
      <c r="F10" s="35"/>
      <c r="G10" s="35"/>
      <c r="H10" s="35"/>
      <c r="I10" s="53"/>
      <c r="J10" s="35"/>
    </row>
    <row r="11" spans="1:10" ht="13" x14ac:dyDescent="0.3">
      <c r="A11" s="35" t="s">
        <v>334</v>
      </c>
      <c r="C11" s="4">
        <v>8.23</v>
      </c>
      <c r="D11" s="35"/>
      <c r="E11" s="35"/>
      <c r="F11" s="35"/>
      <c r="G11" s="35"/>
      <c r="H11" s="35"/>
      <c r="I11" s="35"/>
      <c r="J11" s="35"/>
    </row>
    <row r="12" spans="1:10" ht="13" x14ac:dyDescent="0.3">
      <c r="A12" t="s">
        <v>340</v>
      </c>
      <c r="C12" s="4">
        <v>15.69</v>
      </c>
      <c r="D12" s="35"/>
      <c r="E12" s="35"/>
      <c r="F12" s="35"/>
      <c r="G12" s="35"/>
      <c r="H12" s="35"/>
      <c r="I12" s="35"/>
      <c r="J12" s="35"/>
    </row>
    <row r="13" spans="1:10" ht="13" x14ac:dyDescent="0.3">
      <c r="A13" t="s">
        <v>359</v>
      </c>
      <c r="C13" s="4">
        <v>9.99</v>
      </c>
      <c r="D13" s="35"/>
      <c r="E13" s="35"/>
      <c r="F13" s="35"/>
      <c r="G13" s="35"/>
      <c r="H13" s="35"/>
      <c r="I13" s="35"/>
      <c r="J13" s="35"/>
    </row>
    <row r="14" spans="1:10" ht="13" x14ac:dyDescent="0.3">
      <c r="A14" s="35" t="s">
        <v>373</v>
      </c>
      <c r="C14" s="4">
        <v>5.04</v>
      </c>
      <c r="D14" s="35"/>
      <c r="E14" s="35"/>
      <c r="F14" s="35"/>
      <c r="G14" s="35"/>
      <c r="H14" s="35"/>
      <c r="I14" s="35"/>
      <c r="J14" s="35"/>
    </row>
    <row r="15" spans="1:10" ht="13" x14ac:dyDescent="0.3">
      <c r="A15" s="2" t="s">
        <v>382</v>
      </c>
      <c r="C15" s="4">
        <v>41.34</v>
      </c>
      <c r="D15" s="35"/>
      <c r="E15" s="35"/>
      <c r="F15" s="35" t="s">
        <v>53</v>
      </c>
      <c r="G15" s="35"/>
      <c r="H15" s="35"/>
      <c r="I15" s="35"/>
      <c r="J15" s="35"/>
    </row>
    <row r="16" spans="1:10" ht="13" x14ac:dyDescent="0.3">
      <c r="A16" s="2" t="s">
        <v>384</v>
      </c>
      <c r="C16" s="4">
        <v>53.7</v>
      </c>
      <c r="D16" s="35"/>
      <c r="E16" s="35"/>
      <c r="F16" s="35"/>
      <c r="G16" s="35"/>
      <c r="H16" s="35"/>
      <c r="I16" s="35"/>
      <c r="J16" s="35"/>
    </row>
    <row r="17" spans="1:4" ht="13" x14ac:dyDescent="0.3">
      <c r="A17" s="2" t="s">
        <v>386</v>
      </c>
      <c r="C17" s="4">
        <v>8.76</v>
      </c>
      <c r="D17" s="35"/>
    </row>
    <row r="18" spans="1:4" ht="13" x14ac:dyDescent="0.3">
      <c r="A18" s="2" t="s">
        <v>402</v>
      </c>
      <c r="C18" s="4">
        <v>21.99</v>
      </c>
      <c r="D18" s="35"/>
    </row>
    <row r="19" spans="1:4" x14ac:dyDescent="0.25">
      <c r="A19" s="35"/>
      <c r="B19" s="35"/>
      <c r="C19" s="35"/>
      <c r="D19" s="35"/>
    </row>
    <row r="20" spans="1:4" s="35" customFormat="1" ht="13" x14ac:dyDescent="0.3">
      <c r="A20" t="s">
        <v>330</v>
      </c>
      <c r="B20"/>
      <c r="C20" s="4">
        <v>17.3</v>
      </c>
    </row>
    <row r="21" spans="1:4" s="35" customFormat="1" ht="13" x14ac:dyDescent="0.3">
      <c r="A21" s="35" t="s">
        <v>331</v>
      </c>
      <c r="C21" s="4">
        <v>11.98</v>
      </c>
    </row>
    <row r="22" spans="1:4" s="35" customFormat="1" ht="13" x14ac:dyDescent="0.3">
      <c r="A22" t="s">
        <v>328</v>
      </c>
      <c r="C22" s="4">
        <v>1.98</v>
      </c>
    </row>
    <row r="23" spans="1:4" ht="13" x14ac:dyDescent="0.3">
      <c r="A23" s="35" t="s">
        <v>331</v>
      </c>
      <c r="B23" s="35"/>
      <c r="C23" s="4">
        <v>9.85</v>
      </c>
      <c r="D23" s="35"/>
    </row>
    <row r="24" spans="1:4" ht="13" x14ac:dyDescent="0.3">
      <c r="A24" s="2" t="s">
        <v>378</v>
      </c>
      <c r="C24" s="4">
        <v>6.96</v>
      </c>
      <c r="D24" s="35"/>
    </row>
    <row r="25" spans="1:4" ht="13" x14ac:dyDescent="0.3">
      <c r="A25" s="2" t="s">
        <v>389</v>
      </c>
      <c r="C25" s="4">
        <v>55.4</v>
      </c>
      <c r="D25" s="35"/>
    </row>
    <row r="26" spans="1:4" ht="13" x14ac:dyDescent="0.3">
      <c r="A26" s="2" t="s">
        <v>389</v>
      </c>
      <c r="C26" s="4">
        <v>19.760000000000002</v>
      </c>
      <c r="D26" s="35"/>
    </row>
    <row r="27" spans="1:4" ht="13" x14ac:dyDescent="0.3">
      <c r="A27" s="2" t="s">
        <v>390</v>
      </c>
      <c r="C27" s="4">
        <v>-9.8800000000000008</v>
      </c>
      <c r="D27" s="35"/>
    </row>
    <row r="28" spans="1:4" s="35" customFormat="1" ht="13" x14ac:dyDescent="0.3">
      <c r="A28" s="2" t="s">
        <v>391</v>
      </c>
      <c r="C28" s="4">
        <v>14.97</v>
      </c>
    </row>
    <row r="29" spans="1:4" s="35" customFormat="1" x14ac:dyDescent="0.25"/>
    <row r="30" spans="1:4" ht="13" x14ac:dyDescent="0.3">
      <c r="A30" t="s">
        <v>314</v>
      </c>
      <c r="C30" s="4">
        <v>13.47</v>
      </c>
      <c r="D30" s="35"/>
    </row>
    <row r="31" spans="1:4" ht="13" x14ac:dyDescent="0.3">
      <c r="A31" t="s">
        <v>341</v>
      </c>
      <c r="C31" s="4">
        <v>13.47</v>
      </c>
      <c r="D31" s="35"/>
    </row>
    <row r="32" spans="1:4" ht="13" x14ac:dyDescent="0.3">
      <c r="A32" s="2" t="s">
        <v>388</v>
      </c>
      <c r="C32" s="4">
        <v>13.47</v>
      </c>
    </row>
    <row r="33" spans="1:7" ht="13" x14ac:dyDescent="0.3">
      <c r="A33" s="35" t="s">
        <v>377</v>
      </c>
      <c r="B33" s="35"/>
      <c r="C33" s="4">
        <v>13.47</v>
      </c>
    </row>
    <row r="35" spans="1:7" ht="13" x14ac:dyDescent="0.3">
      <c r="A35" t="s">
        <v>329</v>
      </c>
      <c r="C35" s="4">
        <v>43.26</v>
      </c>
    </row>
    <row r="36" spans="1:7" s="35" customFormat="1" x14ac:dyDescent="0.25"/>
    <row r="38" spans="1:7" s="6" customFormat="1" ht="13" x14ac:dyDescent="0.3">
      <c r="A38" s="4" t="s">
        <v>54</v>
      </c>
      <c r="B38" s="4">
        <f>100-B39</f>
        <v>-167.79000000000002</v>
      </c>
      <c r="C38" s="35"/>
      <c r="D38" s="35"/>
      <c r="E38" s="35"/>
      <c r="F38" s="4" t="s">
        <v>54</v>
      </c>
      <c r="G38" s="4">
        <f>100-G39</f>
        <v>100</v>
      </c>
    </row>
    <row r="39" spans="1:7" x14ac:dyDescent="0.25">
      <c r="A39" s="35" t="s">
        <v>55</v>
      </c>
      <c r="B39" s="35">
        <f>SUM(C40:C57)</f>
        <v>267.79000000000002</v>
      </c>
      <c r="C39" s="35"/>
      <c r="D39" s="35"/>
      <c r="E39" s="35"/>
      <c r="F39" s="35" t="s">
        <v>55</v>
      </c>
      <c r="G39" s="35">
        <f>SUM(H40:H53)</f>
        <v>0</v>
      </c>
    </row>
    <row r="40" spans="1:7" ht="13" x14ac:dyDescent="0.3">
      <c r="A40" t="s">
        <v>307</v>
      </c>
      <c r="C40" s="4">
        <v>10.61</v>
      </c>
      <c r="D40" s="35"/>
      <c r="E40" s="35"/>
      <c r="F40" s="2"/>
      <c r="G40" s="35"/>
    </row>
    <row r="41" spans="1:7" ht="13" x14ac:dyDescent="0.3">
      <c r="A41" t="s">
        <v>315</v>
      </c>
      <c r="C41" s="4">
        <v>34.65</v>
      </c>
      <c r="D41" s="35"/>
      <c r="E41" s="35"/>
      <c r="F41" s="35"/>
      <c r="G41" s="35"/>
    </row>
    <row r="42" spans="1:7" ht="13" x14ac:dyDescent="0.3">
      <c r="A42" t="s">
        <v>332</v>
      </c>
      <c r="C42" s="4">
        <v>10.01</v>
      </c>
      <c r="D42" s="35"/>
      <c r="E42" s="35"/>
      <c r="F42" s="35"/>
      <c r="G42" s="35"/>
    </row>
    <row r="43" spans="1:7" ht="13" x14ac:dyDescent="0.3">
      <c r="A43" s="35" t="s">
        <v>332</v>
      </c>
      <c r="C43" s="4">
        <v>10.01</v>
      </c>
      <c r="D43" s="35"/>
      <c r="E43" s="35"/>
      <c r="F43" s="35"/>
      <c r="G43" s="35"/>
    </row>
    <row r="44" spans="1:7" ht="13" x14ac:dyDescent="0.3">
      <c r="A44" t="s">
        <v>336</v>
      </c>
      <c r="C44" s="4">
        <v>9.84</v>
      </c>
      <c r="D44" s="35"/>
      <c r="E44" s="35"/>
      <c r="F44" s="35"/>
      <c r="G44" s="35"/>
    </row>
    <row r="45" spans="1:7" ht="13" x14ac:dyDescent="0.3">
      <c r="A45" t="s">
        <v>337</v>
      </c>
      <c r="C45" s="4">
        <v>56.1</v>
      </c>
      <c r="D45" s="35"/>
      <c r="E45" s="35"/>
      <c r="F45" s="35"/>
      <c r="G45" s="35"/>
    </row>
    <row r="46" spans="1:7" ht="13" x14ac:dyDescent="0.3">
      <c r="A46" t="s">
        <v>339</v>
      </c>
      <c r="C46" s="4">
        <v>32</v>
      </c>
      <c r="D46" s="35"/>
      <c r="E46" s="35"/>
      <c r="F46" s="35"/>
      <c r="G46" s="35"/>
    </row>
    <row r="47" spans="1:7" ht="13" x14ac:dyDescent="0.3">
      <c r="A47" t="s">
        <v>360</v>
      </c>
      <c r="C47" s="4">
        <v>37</v>
      </c>
      <c r="D47" s="35"/>
      <c r="E47" s="35"/>
      <c r="F47" s="35"/>
      <c r="G47" s="35"/>
    </row>
    <row r="48" spans="1:7" ht="13" x14ac:dyDescent="0.3">
      <c r="A48" t="s">
        <v>361</v>
      </c>
      <c r="C48" s="4">
        <v>5.49</v>
      </c>
      <c r="D48" s="35"/>
      <c r="E48" s="35"/>
      <c r="F48" s="35"/>
      <c r="G48" s="35"/>
    </row>
    <row r="49" spans="1:8" ht="13" x14ac:dyDescent="0.3">
      <c r="A49" s="35" t="s">
        <v>361</v>
      </c>
      <c r="C49" s="4">
        <v>7.69</v>
      </c>
      <c r="D49" s="35"/>
      <c r="E49" s="35"/>
      <c r="F49" s="35"/>
      <c r="G49" s="35"/>
      <c r="H49" s="35"/>
    </row>
    <row r="50" spans="1:8" ht="13" x14ac:dyDescent="0.3">
      <c r="A50" t="s">
        <v>363</v>
      </c>
      <c r="C50" s="4">
        <v>15</v>
      </c>
      <c r="D50" s="35"/>
      <c r="E50" s="35"/>
      <c r="F50" s="35"/>
      <c r="G50" s="35"/>
      <c r="H50" s="35"/>
    </row>
    <row r="51" spans="1:8" ht="13" x14ac:dyDescent="0.3">
      <c r="A51" s="2" t="s">
        <v>383</v>
      </c>
      <c r="C51" s="4">
        <v>24.39</v>
      </c>
      <c r="D51" s="35"/>
      <c r="E51" s="35"/>
      <c r="F51" s="35"/>
      <c r="G51" s="35"/>
      <c r="H51" s="35"/>
    </row>
    <row r="52" spans="1:8" ht="13" x14ac:dyDescent="0.3">
      <c r="A52" s="2" t="s">
        <v>387</v>
      </c>
      <c r="B52" s="35"/>
      <c r="C52" s="4">
        <v>15</v>
      </c>
      <c r="D52" s="35"/>
      <c r="E52" s="35"/>
      <c r="F52" s="35"/>
      <c r="G52" s="35"/>
      <c r="H52" s="35"/>
    </row>
    <row r="53" spans="1:8" ht="13" x14ac:dyDescent="0.3">
      <c r="A53" s="2"/>
      <c r="B53" s="35"/>
      <c r="C53" s="4"/>
      <c r="D53" s="35"/>
      <c r="E53" s="35"/>
      <c r="F53" s="35"/>
      <c r="G53" s="35"/>
      <c r="H53" s="35"/>
    </row>
    <row r="54" spans="1:8" s="35" customFormat="1" ht="13" x14ac:dyDescent="0.3">
      <c r="A54" s="2"/>
      <c r="C54" s="4"/>
    </row>
    <row r="55" spans="1:8" s="35" customFormat="1" ht="13" x14ac:dyDescent="0.3">
      <c r="A55" s="2"/>
      <c r="C55" s="4"/>
    </row>
    <row r="56" spans="1:8" s="35" customFormat="1" ht="13" x14ac:dyDescent="0.3">
      <c r="A56" s="2"/>
      <c r="C56" s="4"/>
    </row>
    <row r="58" spans="1:8" s="6" customFormat="1" x14ac:dyDescent="0.25">
      <c r="A58" s="2" t="s">
        <v>56</v>
      </c>
      <c r="B58" s="35">
        <f>SUM(C59:C90)-C60</f>
        <v>1330.6499999999996</v>
      </c>
      <c r="C58" s="35"/>
      <c r="D58" s="35"/>
      <c r="E58" s="35"/>
      <c r="F58" s="2" t="s">
        <v>56</v>
      </c>
      <c r="G58" s="35">
        <f>SUM(H59:H90)</f>
        <v>1331.52</v>
      </c>
      <c r="H58" s="35"/>
    </row>
    <row r="59" spans="1:8" x14ac:dyDescent="0.25">
      <c r="A59" s="35" t="s">
        <v>57</v>
      </c>
      <c r="B59" s="35">
        <f>SUM(C60:C91)</f>
        <v>8444.49</v>
      </c>
      <c r="C59" s="35"/>
      <c r="D59" s="35"/>
      <c r="E59" s="35"/>
      <c r="F59" s="35" t="s">
        <v>57</v>
      </c>
      <c r="G59" s="35">
        <f>SUM(H60:H88)</f>
        <v>1331.52</v>
      </c>
      <c r="H59" s="35"/>
    </row>
    <row r="60" spans="1:8" x14ac:dyDescent="0.25">
      <c r="A60" s="19" t="s">
        <v>58</v>
      </c>
      <c r="B60" s="35"/>
      <c r="C60" s="2">
        <v>7113.84</v>
      </c>
      <c r="D60" s="35"/>
      <c r="E60" s="35"/>
      <c r="F60" s="19" t="s">
        <v>58</v>
      </c>
      <c r="G60" s="35"/>
      <c r="H60" s="35">
        <v>1312.65</v>
      </c>
    </row>
    <row r="61" spans="1:8" ht="13" x14ac:dyDescent="0.3">
      <c r="A61" t="s">
        <v>308</v>
      </c>
      <c r="C61" s="4">
        <v>3.7</v>
      </c>
      <c r="D61" s="35"/>
      <c r="E61" s="35"/>
      <c r="F61" s="19" t="s">
        <v>392</v>
      </c>
      <c r="G61" s="35"/>
      <c r="H61" s="35">
        <v>18.87</v>
      </c>
    </row>
    <row r="62" spans="1:8" ht="13" x14ac:dyDescent="0.3">
      <c r="A62" t="s">
        <v>309</v>
      </c>
      <c r="C62" s="4">
        <v>45</v>
      </c>
      <c r="D62" s="35"/>
      <c r="E62" s="35"/>
      <c r="F62" s="19"/>
      <c r="G62" s="35"/>
      <c r="H62" s="4"/>
    </row>
    <row r="63" spans="1:8" ht="13" x14ac:dyDescent="0.3">
      <c r="A63" t="s">
        <v>310</v>
      </c>
      <c r="C63" s="4">
        <v>25</v>
      </c>
      <c r="D63" s="35"/>
      <c r="E63" s="35"/>
      <c r="F63" s="19"/>
      <c r="G63" s="35"/>
      <c r="H63" s="4"/>
    </row>
    <row r="64" spans="1:8" ht="13" x14ac:dyDescent="0.3">
      <c r="A64" t="s">
        <v>312</v>
      </c>
      <c r="C64" s="4">
        <v>75.8</v>
      </c>
      <c r="D64" s="35"/>
      <c r="E64" s="35"/>
      <c r="F64" s="19"/>
      <c r="G64" s="35"/>
      <c r="H64" s="35"/>
    </row>
    <row r="65" spans="1:8" ht="13" x14ac:dyDescent="0.3">
      <c r="A65" t="s">
        <v>316</v>
      </c>
      <c r="C65" s="4">
        <v>14.78</v>
      </c>
      <c r="D65" s="35"/>
      <c r="E65" s="35"/>
      <c r="F65" s="2"/>
      <c r="G65" s="35"/>
      <c r="H65" s="35"/>
    </row>
    <row r="66" spans="1:8" ht="13" x14ac:dyDescent="0.3">
      <c r="A66" t="s">
        <v>317</v>
      </c>
      <c r="C66" s="4">
        <v>130.66999999999999</v>
      </c>
      <c r="D66" s="35"/>
      <c r="E66" s="35"/>
      <c r="F66" s="2"/>
      <c r="G66" s="35"/>
      <c r="H66" s="35"/>
    </row>
    <row r="67" spans="1:8" ht="13" x14ac:dyDescent="0.3">
      <c r="A67" t="s">
        <v>318</v>
      </c>
      <c r="C67" s="4">
        <v>99.99</v>
      </c>
      <c r="D67" s="35"/>
      <c r="E67" s="35"/>
      <c r="F67" s="35"/>
      <c r="G67" s="35"/>
      <c r="H67" s="35"/>
    </row>
    <row r="68" spans="1:8" ht="13" x14ac:dyDescent="0.3">
      <c r="A68" t="s">
        <v>319</v>
      </c>
      <c r="C68" s="4">
        <f>-11.37</f>
        <v>-11.37</v>
      </c>
      <c r="D68" s="35"/>
      <c r="E68" s="35"/>
      <c r="F68" s="35"/>
      <c r="G68" s="35"/>
      <c r="H68" s="35"/>
    </row>
    <row r="69" spans="1:8" ht="13" x14ac:dyDescent="0.3">
      <c r="A69" t="s">
        <v>324</v>
      </c>
      <c r="C69" s="4">
        <v>42.17</v>
      </c>
      <c r="D69" s="35"/>
      <c r="E69" s="35"/>
      <c r="F69" s="35"/>
      <c r="G69" s="35"/>
      <c r="H69" s="35"/>
    </row>
    <row r="70" spans="1:8" ht="13" x14ac:dyDescent="0.3">
      <c r="A70" t="s">
        <v>325</v>
      </c>
      <c r="C70" s="4">
        <v>14.71</v>
      </c>
      <c r="D70" s="35"/>
      <c r="E70" s="35"/>
      <c r="F70" s="35"/>
      <c r="G70" s="35"/>
      <c r="H70" s="35"/>
    </row>
    <row r="71" spans="1:8" ht="13" x14ac:dyDescent="0.3">
      <c r="A71" t="s">
        <v>326</v>
      </c>
      <c r="C71" s="4">
        <v>2.9</v>
      </c>
      <c r="D71" s="35"/>
      <c r="E71" s="35"/>
      <c r="F71" s="35"/>
      <c r="G71" s="35"/>
      <c r="H71" s="35"/>
    </row>
    <row r="72" spans="1:8" ht="13" x14ac:dyDescent="0.3">
      <c r="A72" t="s">
        <v>333</v>
      </c>
      <c r="C72" s="4">
        <v>220</v>
      </c>
      <c r="D72" s="35"/>
      <c r="E72" s="35"/>
      <c r="F72" s="35"/>
      <c r="G72" s="35"/>
      <c r="H72" s="35"/>
    </row>
    <row r="73" spans="1:8" ht="13" x14ac:dyDescent="0.3">
      <c r="A73" t="s">
        <v>338</v>
      </c>
      <c r="C73" s="4">
        <v>9.8800000000000008</v>
      </c>
      <c r="D73" s="35"/>
      <c r="E73" s="35"/>
      <c r="F73" s="35"/>
      <c r="G73" s="35"/>
      <c r="H73" s="35"/>
    </row>
    <row r="74" spans="1:8" ht="13" x14ac:dyDescent="0.3">
      <c r="A74" t="s">
        <v>358</v>
      </c>
      <c r="C74" s="4">
        <v>82.27</v>
      </c>
      <c r="D74" s="35"/>
      <c r="E74" s="35"/>
      <c r="F74" s="35"/>
      <c r="G74" s="35"/>
      <c r="H74" s="35"/>
    </row>
    <row r="75" spans="1:8" ht="13" x14ac:dyDescent="0.3">
      <c r="A75" t="s">
        <v>362</v>
      </c>
      <c r="C75" s="4">
        <v>141.9</v>
      </c>
      <c r="D75" s="35"/>
      <c r="E75" s="35"/>
      <c r="F75" s="35"/>
      <c r="G75" s="35"/>
      <c r="H75" s="35"/>
    </row>
    <row r="76" spans="1:8" ht="13" x14ac:dyDescent="0.3">
      <c r="A76" t="s">
        <v>364</v>
      </c>
      <c r="C76" s="4">
        <v>24.75</v>
      </c>
      <c r="D76" s="35"/>
      <c r="E76" s="35"/>
      <c r="F76" s="35"/>
      <c r="G76" s="35"/>
      <c r="H76" s="35"/>
    </row>
    <row r="77" spans="1:8" ht="13" x14ac:dyDescent="0.3">
      <c r="A77" s="2" t="s">
        <v>372</v>
      </c>
      <c r="B77" s="4"/>
      <c r="C77" s="4">
        <v>41.9</v>
      </c>
      <c r="D77" s="35"/>
      <c r="E77" s="35"/>
      <c r="F77" s="35"/>
      <c r="G77" s="35"/>
      <c r="H77" s="35"/>
    </row>
    <row r="78" spans="1:8" ht="13" x14ac:dyDescent="0.3">
      <c r="A78" s="35" t="s">
        <v>375</v>
      </c>
      <c r="B78" s="35"/>
      <c r="C78" s="4">
        <v>11.98</v>
      </c>
      <c r="D78" s="35"/>
      <c r="E78" s="35"/>
      <c r="F78" s="35"/>
      <c r="G78" s="35"/>
      <c r="H78" s="35"/>
    </row>
    <row r="79" spans="1:8" ht="13" x14ac:dyDescent="0.3">
      <c r="A79" s="3" t="s">
        <v>374</v>
      </c>
      <c r="B79" s="35"/>
      <c r="C79" s="4">
        <v>48.21</v>
      </c>
      <c r="D79" s="35"/>
      <c r="E79" s="35"/>
      <c r="F79" s="35"/>
      <c r="G79" s="35"/>
      <c r="H79" s="35"/>
    </row>
    <row r="80" spans="1:8" ht="13" x14ac:dyDescent="0.3">
      <c r="A80" s="3" t="s">
        <v>376</v>
      </c>
      <c r="B80" s="35"/>
      <c r="C80" s="4">
        <v>26.39</v>
      </c>
      <c r="D80" s="35"/>
      <c r="E80" s="35"/>
      <c r="F80" s="35"/>
      <c r="G80" s="35"/>
      <c r="H80" s="35"/>
    </row>
    <row r="81" spans="1:8" ht="13" x14ac:dyDescent="0.3">
      <c r="A81" s="3" t="s">
        <v>379</v>
      </c>
      <c r="B81" s="35"/>
      <c r="C81" s="4">
        <v>130.41999999999999</v>
      </c>
      <c r="D81" s="35"/>
      <c r="E81" s="35"/>
      <c r="F81" s="35"/>
      <c r="G81" s="35"/>
      <c r="H81" s="35"/>
    </row>
    <row r="82" spans="1:8" ht="13" x14ac:dyDescent="0.3">
      <c r="A82" s="3" t="s">
        <v>380</v>
      </c>
      <c r="C82" s="4">
        <v>22.13</v>
      </c>
    </row>
    <row r="83" spans="1:8" ht="13" x14ac:dyDescent="0.3">
      <c r="A83" s="3" t="s">
        <v>381</v>
      </c>
      <c r="B83" s="35"/>
      <c r="C83" s="4">
        <v>124.18</v>
      </c>
      <c r="D83" s="35"/>
      <c r="E83" s="35"/>
      <c r="F83" s="35"/>
      <c r="G83" s="35"/>
      <c r="H83" s="35"/>
    </row>
    <row r="84" spans="1:8" ht="13" x14ac:dyDescent="0.3">
      <c r="A84" s="3" t="s">
        <v>385</v>
      </c>
      <c r="B84" s="35"/>
      <c r="C84" s="4">
        <v>3.29</v>
      </c>
      <c r="D84" s="35"/>
      <c r="E84" s="35"/>
      <c r="F84" s="35"/>
      <c r="G84" s="35"/>
      <c r="H84" s="35"/>
    </row>
    <row r="85" spans="1:8" ht="13" x14ac:dyDescent="0.3">
      <c r="A85" s="3"/>
      <c r="B85" s="35"/>
      <c r="C85" s="4"/>
      <c r="D85" s="35"/>
      <c r="E85" s="35"/>
      <c r="F85" s="35"/>
      <c r="G85" s="35"/>
      <c r="H85" s="35"/>
    </row>
    <row r="92" spans="1:8" s="6" customFormat="1" x14ac:dyDescent="0.25">
      <c r="A92" s="35" t="s">
        <v>59</v>
      </c>
      <c r="B92" s="35">
        <f>150-B93</f>
        <v>137.44</v>
      </c>
      <c r="C92" s="35"/>
      <c r="D92" s="35"/>
      <c r="E92" s="35"/>
      <c r="F92" s="35" t="s">
        <v>59</v>
      </c>
      <c r="G92" s="35">
        <f>150-G93</f>
        <v>150</v>
      </c>
      <c r="H92" s="35"/>
    </row>
    <row r="93" spans="1:8" x14ac:dyDescent="0.25">
      <c r="A93" s="35" t="s">
        <v>45</v>
      </c>
      <c r="B93" s="35">
        <f>SUM(C94:C101)</f>
        <v>12.56</v>
      </c>
      <c r="C93" s="35"/>
      <c r="D93" s="35"/>
      <c r="E93" s="35"/>
      <c r="F93" s="35" t="s">
        <v>45</v>
      </c>
      <c r="G93" s="35">
        <f>SUM(H94:H101)</f>
        <v>0</v>
      </c>
      <c r="H93" s="35"/>
    </row>
    <row r="94" spans="1:8" ht="13" x14ac:dyDescent="0.3">
      <c r="A94" t="s">
        <v>306</v>
      </c>
      <c r="C94" s="4">
        <v>12.56</v>
      </c>
      <c r="D94" s="35"/>
      <c r="E94" s="35"/>
      <c r="F94" s="35"/>
      <c r="G94" s="35"/>
      <c r="H94" s="35"/>
    </row>
    <row r="104" spans="1:8" x14ac:dyDescent="0.25">
      <c r="A104" s="35" t="s">
        <v>60</v>
      </c>
      <c r="B104" s="35">
        <f>SUM(C105:C209)</f>
        <v>-1144</v>
      </c>
      <c r="C104" s="35"/>
      <c r="D104" s="35"/>
      <c r="E104" s="35"/>
      <c r="F104" s="35" t="s">
        <v>60</v>
      </c>
      <c r="G104" s="35">
        <f>SUM(H105:H209)</f>
        <v>0</v>
      </c>
      <c r="H104" s="35"/>
    </row>
    <row r="105" spans="1:8" ht="13" x14ac:dyDescent="0.3">
      <c r="A105" s="35" t="s">
        <v>335</v>
      </c>
      <c r="C105" s="4">
        <v>-144</v>
      </c>
      <c r="D105" s="35"/>
      <c r="E105" s="35"/>
      <c r="F105" s="2"/>
      <c r="G105" s="35"/>
      <c r="H105" s="4"/>
    </row>
    <row r="106" spans="1:8" ht="13" x14ac:dyDescent="0.3">
      <c r="A106" s="35" t="s">
        <v>357</v>
      </c>
      <c r="C106" s="4">
        <f>-1000</f>
        <v>-1000</v>
      </c>
      <c r="D106" s="35"/>
      <c r="E106" s="35"/>
      <c r="F106" s="35"/>
      <c r="G106" s="35"/>
      <c r="H106" s="35"/>
    </row>
    <row r="107" spans="1:8" ht="13" x14ac:dyDescent="0.3">
      <c r="A107" s="35"/>
      <c r="B107" s="35"/>
      <c r="C107" s="35"/>
      <c r="D107" s="35"/>
      <c r="E107" s="35"/>
      <c r="F107" s="2"/>
      <c r="G107" s="4"/>
    </row>
    <row r="108" spans="1:8" ht="13" x14ac:dyDescent="0.3">
      <c r="A108" t="s">
        <v>403</v>
      </c>
      <c r="B108">
        <v>420</v>
      </c>
      <c r="D108" s="35"/>
      <c r="E108" s="35"/>
      <c r="G108" s="35"/>
      <c r="H108" s="4"/>
    </row>
    <row r="109" spans="1:8" x14ac:dyDescent="0.25">
      <c r="A109" s="2" t="s">
        <v>406</v>
      </c>
      <c r="B109" s="35">
        <f>-400</f>
        <v>-400</v>
      </c>
      <c r="D109" s="35"/>
      <c r="E109" s="35"/>
      <c r="F109" s="35"/>
      <c r="G109" s="35"/>
      <c r="H109" s="35"/>
    </row>
    <row r="110" spans="1:8" x14ac:dyDescent="0.25">
      <c r="A110" s="2" t="s">
        <v>407</v>
      </c>
      <c r="B110">
        <v>7.48</v>
      </c>
      <c r="D110" s="35"/>
      <c r="E110" s="35"/>
      <c r="H110" s="35"/>
    </row>
    <row r="111" spans="1:8" x14ac:dyDescent="0.25">
      <c r="A111" s="2" t="s">
        <v>408</v>
      </c>
      <c r="B111">
        <v>11.57</v>
      </c>
      <c r="D111" s="35"/>
      <c r="E111" s="35"/>
      <c r="H111" s="35"/>
    </row>
    <row r="112" spans="1:8" x14ac:dyDescent="0.25">
      <c r="A112" s="2" t="s">
        <v>409</v>
      </c>
      <c r="B112">
        <v>37.08</v>
      </c>
      <c r="H112" s="35"/>
    </row>
    <row r="113" spans="1:2" x14ac:dyDescent="0.25">
      <c r="A113" s="2" t="s">
        <v>410</v>
      </c>
      <c r="B113">
        <v>6</v>
      </c>
    </row>
    <row r="114" spans="1:2" x14ac:dyDescent="0.25">
      <c r="A114" s="2" t="s">
        <v>413</v>
      </c>
      <c r="B114">
        <v>24.42</v>
      </c>
    </row>
    <row r="115" spans="1:2" x14ac:dyDescent="0.25">
      <c r="A115" s="2" t="s">
        <v>414</v>
      </c>
      <c r="B115">
        <v>5</v>
      </c>
    </row>
    <row r="116" spans="1:2" x14ac:dyDescent="0.25">
      <c r="A116" s="2" t="s">
        <v>415</v>
      </c>
      <c r="B116">
        <v>12.1</v>
      </c>
    </row>
    <row r="117" spans="1:2" x14ac:dyDescent="0.25">
      <c r="A117" s="2" t="s">
        <v>416</v>
      </c>
      <c r="B117">
        <v>54.45</v>
      </c>
    </row>
    <row r="118" spans="1:2" x14ac:dyDescent="0.25">
      <c r="A118" s="2" t="s">
        <v>417</v>
      </c>
      <c r="B118">
        <v>24.06</v>
      </c>
    </row>
    <row r="119" spans="1:2" x14ac:dyDescent="0.25">
      <c r="A119" s="2" t="s">
        <v>418</v>
      </c>
      <c r="B119">
        <v>13.01</v>
      </c>
    </row>
    <row r="120" spans="1:2" x14ac:dyDescent="0.25">
      <c r="A120" s="2" t="s">
        <v>418</v>
      </c>
      <c r="B120">
        <v>5.99</v>
      </c>
    </row>
    <row r="121" spans="1:2" x14ac:dyDescent="0.25">
      <c r="A121" s="2" t="s">
        <v>419</v>
      </c>
      <c r="B121">
        <v>125.39</v>
      </c>
    </row>
    <row r="122" spans="1:2" x14ac:dyDescent="0.25">
      <c r="A122" s="2" t="s">
        <v>420</v>
      </c>
      <c r="B122">
        <f>-21.99</f>
        <v>-21.99</v>
      </c>
    </row>
  </sheetData>
  <mergeCells count="1">
    <mergeCell ref="A1:E1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0"/>
  <sheetViews>
    <sheetView topLeftCell="A76" workbookViewId="0">
      <selection activeCell="B99" sqref="B99"/>
    </sheetView>
  </sheetViews>
  <sheetFormatPr defaultColWidth="9" defaultRowHeight="13" x14ac:dyDescent="0.3"/>
  <cols>
    <col min="1" max="1" width="53" style="35" bestFit="1" customWidth="1"/>
    <col min="2" max="2" width="9" style="35"/>
    <col min="3" max="3" width="9.08984375" style="4" customWidth="1"/>
    <col min="4" max="4" width="18" style="35" customWidth="1"/>
    <col min="5" max="5" width="29.90625" style="35" customWidth="1"/>
    <col min="6" max="6" width="26.453125" style="35" customWidth="1"/>
    <col min="7" max="16384" width="9" style="35"/>
  </cols>
  <sheetData>
    <row r="1" spans="1:6" x14ac:dyDescent="0.3">
      <c r="A1" s="2" t="s">
        <v>61</v>
      </c>
    </row>
    <row r="2" spans="1:6" x14ac:dyDescent="0.3">
      <c r="A2" s="35" t="s">
        <v>50</v>
      </c>
      <c r="C2" s="4">
        <f>D5</f>
        <v>0</v>
      </c>
    </row>
    <row r="4" spans="1:6" x14ac:dyDescent="0.3">
      <c r="A4" s="35" t="s">
        <v>62</v>
      </c>
    </row>
    <row r="5" spans="1:6" x14ac:dyDescent="0.3">
      <c r="A5" s="35" t="s">
        <v>51</v>
      </c>
      <c r="C5" s="4">
        <f>3000-(B7+B54+B84+B113)-B124</f>
        <v>3000</v>
      </c>
      <c r="D5" s="35">
        <f>3000-C5</f>
        <v>0</v>
      </c>
      <c r="E5" s="35">
        <f>D5-C85</f>
        <v>0</v>
      </c>
      <c r="F5" s="4"/>
    </row>
    <row r="6" spans="1:6" x14ac:dyDescent="0.3">
      <c r="A6" s="2" t="s">
        <v>52</v>
      </c>
      <c r="B6" s="35">
        <f>350-B7</f>
        <v>350</v>
      </c>
    </row>
    <row r="7" spans="1:6" x14ac:dyDescent="0.3">
      <c r="A7" s="35" t="s">
        <v>44</v>
      </c>
      <c r="B7" s="35">
        <f>SUM(C8:C52)</f>
        <v>0</v>
      </c>
    </row>
    <row r="8" spans="1:6" x14ac:dyDescent="0.3">
      <c r="A8" s="4" t="s">
        <v>63</v>
      </c>
      <c r="B8" s="4">
        <f>SUM(C9:C38)</f>
        <v>0</v>
      </c>
    </row>
    <row r="11" spans="1:6" x14ac:dyDescent="0.3">
      <c r="A11" s="2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  <row r="16" spans="1:6" x14ac:dyDescent="0.3">
      <c r="A16" s="2"/>
    </row>
    <row r="17" spans="1:16384" x14ac:dyDescent="0.3">
      <c r="A17" s="2"/>
    </row>
    <row r="18" spans="1:16384" x14ac:dyDescent="0.3">
      <c r="A18" s="2"/>
    </row>
    <row r="19" spans="1:16384" x14ac:dyDescent="0.3">
      <c r="A19" s="2"/>
    </row>
    <row r="20" spans="1:16384" x14ac:dyDescent="0.3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x14ac:dyDescent="0.3">
      <c r="A21" s="2"/>
    </row>
    <row r="22" spans="1:16384" x14ac:dyDescent="0.3">
      <c r="A22" s="2"/>
    </row>
    <row r="23" spans="1:16384" x14ac:dyDescent="0.3">
      <c r="A23" s="19"/>
    </row>
    <row r="24" spans="1:16384" ht="12.5" x14ac:dyDescent="0.25">
      <c r="C24" s="35"/>
    </row>
    <row r="25" spans="1:16384" x14ac:dyDescent="0.3">
      <c r="A25" s="2"/>
    </row>
    <row r="26" spans="1:16384" x14ac:dyDescent="0.3">
      <c r="A26" s="4" t="s">
        <v>64</v>
      </c>
      <c r="B26" s="35">
        <f>SUM(C27:C35)</f>
        <v>0</v>
      </c>
    </row>
    <row r="31" spans="1:16384" x14ac:dyDescent="0.3">
      <c r="A31" s="2"/>
    </row>
    <row r="32" spans="1:16384" x14ac:dyDescent="0.3">
      <c r="A32" s="2"/>
    </row>
    <row r="34" spans="1:3" x14ac:dyDescent="0.3">
      <c r="A34" s="3"/>
    </row>
    <row r="37" spans="1:3" ht="12.5" x14ac:dyDescent="0.25">
      <c r="C37" s="35"/>
    </row>
    <row r="38" spans="1:3" x14ac:dyDescent="0.3">
      <c r="A38" s="4" t="s">
        <v>65</v>
      </c>
      <c r="B38" s="35">
        <f>SUM(C38:C42)</f>
        <v>0</v>
      </c>
    </row>
    <row r="39" spans="1:3" ht="12.5" x14ac:dyDescent="0.25">
      <c r="A39" s="2"/>
      <c r="C39" s="35"/>
    </row>
    <row r="41" spans="1:3" x14ac:dyDescent="0.3">
      <c r="A41" s="2"/>
    </row>
    <row r="42" spans="1:3" x14ac:dyDescent="0.3">
      <c r="A42" s="2"/>
    </row>
    <row r="44" spans="1:3" x14ac:dyDescent="0.3">
      <c r="A44" s="2"/>
    </row>
    <row r="45" spans="1:3" x14ac:dyDescent="0.3">
      <c r="A45" s="2"/>
    </row>
    <row r="47" spans="1:3" x14ac:dyDescent="0.3">
      <c r="A47" s="2"/>
    </row>
    <row r="48" spans="1:3" x14ac:dyDescent="0.3">
      <c r="A48" s="2"/>
    </row>
    <row r="49" spans="1:2" x14ac:dyDescent="0.3">
      <c r="A49" s="19"/>
    </row>
    <row r="50" spans="1:2" x14ac:dyDescent="0.3">
      <c r="A50" s="19"/>
    </row>
    <row r="51" spans="1:2" x14ac:dyDescent="0.3">
      <c r="A51" s="2"/>
    </row>
    <row r="52" spans="1:2" x14ac:dyDescent="0.3">
      <c r="A52" s="19"/>
    </row>
    <row r="53" spans="1:2" x14ac:dyDescent="0.3">
      <c r="A53" s="4" t="s">
        <v>54</v>
      </c>
      <c r="B53" s="4">
        <f>100-B54</f>
        <v>100</v>
      </c>
    </row>
    <row r="54" spans="1:2" x14ac:dyDescent="0.3">
      <c r="A54" s="35" t="s">
        <v>55</v>
      </c>
      <c r="B54" s="4">
        <f>SUM(C55:C83)</f>
        <v>0</v>
      </c>
    </row>
    <row r="57" spans="1:2" x14ac:dyDescent="0.3">
      <c r="A57" s="2"/>
    </row>
    <row r="58" spans="1:2" x14ac:dyDescent="0.3">
      <c r="A58" s="2"/>
    </row>
    <row r="59" spans="1:2" x14ac:dyDescent="0.3">
      <c r="A59" s="2"/>
    </row>
    <row r="60" spans="1:2" x14ac:dyDescent="0.3">
      <c r="A60" s="2"/>
    </row>
    <row r="61" spans="1:2" x14ac:dyDescent="0.3">
      <c r="A61" s="2"/>
    </row>
    <row r="62" spans="1:2" x14ac:dyDescent="0.3">
      <c r="A62" s="2"/>
    </row>
    <row r="63" spans="1:2" x14ac:dyDescent="0.3">
      <c r="A63" s="19"/>
    </row>
    <row r="64" spans="1:2" x14ac:dyDescent="0.3">
      <c r="A64" s="2"/>
    </row>
    <row r="65" spans="1:1" x14ac:dyDescent="0.3">
      <c r="A65" s="19"/>
    </row>
    <row r="66" spans="1:1" x14ac:dyDescent="0.3">
      <c r="A66" s="19"/>
    </row>
    <row r="67" spans="1:1" x14ac:dyDescent="0.3">
      <c r="A67" s="19"/>
    </row>
    <row r="68" spans="1:1" x14ac:dyDescent="0.3">
      <c r="A68" s="19"/>
    </row>
    <row r="69" spans="1:1" x14ac:dyDescent="0.3">
      <c r="A69" s="19"/>
    </row>
    <row r="70" spans="1:1" x14ac:dyDescent="0.3">
      <c r="A70" s="19"/>
    </row>
    <row r="71" spans="1:1" x14ac:dyDescent="0.3">
      <c r="A71" s="19"/>
    </row>
    <row r="72" spans="1:1" x14ac:dyDescent="0.3">
      <c r="A72" s="19"/>
    </row>
    <row r="73" spans="1:1" x14ac:dyDescent="0.3">
      <c r="A73" s="19"/>
    </row>
    <row r="74" spans="1:1" x14ac:dyDescent="0.3">
      <c r="A74" s="19"/>
    </row>
    <row r="75" spans="1:1" x14ac:dyDescent="0.3">
      <c r="A75" s="19"/>
    </row>
    <row r="76" spans="1:1" x14ac:dyDescent="0.3">
      <c r="A76" s="19"/>
    </row>
    <row r="77" spans="1:1" x14ac:dyDescent="0.3">
      <c r="A77" s="19"/>
    </row>
    <row r="78" spans="1:1" x14ac:dyDescent="0.3">
      <c r="A78" s="19"/>
    </row>
    <row r="79" spans="1:1" x14ac:dyDescent="0.3">
      <c r="A79" s="19"/>
    </row>
    <row r="80" spans="1:1" x14ac:dyDescent="0.3">
      <c r="A80" s="19"/>
    </row>
    <row r="81" spans="1:3" x14ac:dyDescent="0.3">
      <c r="A81" s="19"/>
    </row>
    <row r="82" spans="1:3" x14ac:dyDescent="0.3">
      <c r="A82" s="19"/>
    </row>
    <row r="83" spans="1:3" x14ac:dyDescent="0.3">
      <c r="A83" s="2"/>
    </row>
    <row r="84" spans="1:3" x14ac:dyDescent="0.3">
      <c r="A84" s="4" t="s">
        <v>57</v>
      </c>
      <c r="B84" s="35">
        <f>SUM(C85:C111)</f>
        <v>24.99</v>
      </c>
    </row>
    <row r="85" spans="1:3" ht="12.5" x14ac:dyDescent="0.25">
      <c r="A85" s="2" t="s">
        <v>66</v>
      </c>
      <c r="C85" s="35">
        <v>0</v>
      </c>
    </row>
    <row r="86" spans="1:3" x14ac:dyDescent="0.3">
      <c r="A86" s="35" t="s">
        <v>354</v>
      </c>
      <c r="C86" s="4">
        <v>24.99</v>
      </c>
    </row>
    <row r="87" spans="1:3" x14ac:dyDescent="0.3">
      <c r="B87" s="2"/>
    </row>
    <row r="92" spans="1:3" x14ac:dyDescent="0.3">
      <c r="A92" s="3"/>
    </row>
    <row r="93" spans="1:3" x14ac:dyDescent="0.3">
      <c r="A93" s="3"/>
    </row>
    <row r="94" spans="1:3" x14ac:dyDescent="0.3">
      <c r="A94" s="3"/>
    </row>
    <row r="95" spans="1:3" x14ac:dyDescent="0.3">
      <c r="A95" s="3"/>
    </row>
    <row r="96" spans="1:3" x14ac:dyDescent="0.3">
      <c r="A96" s="3"/>
    </row>
    <row r="97" spans="1:4" x14ac:dyDescent="0.3">
      <c r="A97" s="19"/>
    </row>
    <row r="98" spans="1:4" x14ac:dyDescent="0.3">
      <c r="A98" s="19"/>
    </row>
    <row r="99" spans="1:4" x14ac:dyDescent="0.3">
      <c r="A99" s="19"/>
    </row>
    <row r="100" spans="1:4" x14ac:dyDescent="0.3">
      <c r="A100" s="19"/>
    </row>
    <row r="101" spans="1:4" x14ac:dyDescent="0.3">
      <c r="A101" s="2"/>
    </row>
    <row r="102" spans="1:4" x14ac:dyDescent="0.3">
      <c r="A102" s="19"/>
    </row>
    <row r="103" spans="1:4" x14ac:dyDescent="0.3">
      <c r="A103" s="19"/>
    </row>
    <row r="104" spans="1:4" x14ac:dyDescent="0.3">
      <c r="A104" s="19"/>
    </row>
    <row r="105" spans="1:4" x14ac:dyDescent="0.3">
      <c r="A105" s="19"/>
    </row>
    <row r="106" spans="1:4" x14ac:dyDescent="0.3">
      <c r="A106" s="19"/>
    </row>
    <row r="107" spans="1:4" x14ac:dyDescent="0.3">
      <c r="A107" s="19"/>
      <c r="D107" s="4"/>
    </row>
    <row r="108" spans="1:4" x14ac:dyDescent="0.3">
      <c r="A108" s="19"/>
    </row>
    <row r="110" spans="1:4" x14ac:dyDescent="0.3">
      <c r="A110" s="2"/>
    </row>
    <row r="111" spans="1:4" x14ac:dyDescent="0.3">
      <c r="A111" s="2"/>
    </row>
    <row r="112" spans="1:4" x14ac:dyDescent="0.3">
      <c r="A112" s="4" t="s">
        <v>59</v>
      </c>
      <c r="B112" s="35">
        <f>150-B113</f>
        <v>150</v>
      </c>
    </row>
    <row r="113" spans="1:3" x14ac:dyDescent="0.3">
      <c r="A113" s="35" t="s">
        <v>45</v>
      </c>
      <c r="B113" s="35">
        <f>SUM(C114:C121)</f>
        <v>0</v>
      </c>
    </row>
    <row r="116" spans="1:3" x14ac:dyDescent="0.3">
      <c r="A116" s="2"/>
    </row>
    <row r="117" spans="1:3" x14ac:dyDescent="0.3">
      <c r="A117" s="2"/>
    </row>
    <row r="124" spans="1:3" x14ac:dyDescent="0.3">
      <c r="A124" s="35" t="s">
        <v>60</v>
      </c>
      <c r="B124" s="35">
        <f>SUM(C125:C163)</f>
        <v>-24.99</v>
      </c>
    </row>
    <row r="125" spans="1:3" x14ac:dyDescent="0.3">
      <c r="A125" s="35" t="s">
        <v>353</v>
      </c>
      <c r="C125" s="4">
        <f>-24.99</f>
        <v>-24.99</v>
      </c>
    </row>
    <row r="126" spans="1:3" x14ac:dyDescent="0.3">
      <c r="A126" s="2"/>
    </row>
    <row r="127" spans="1:3" x14ac:dyDescent="0.3">
      <c r="B127" s="4"/>
    </row>
    <row r="128" spans="1:3" x14ac:dyDescent="0.3">
      <c r="B128" s="4"/>
    </row>
    <row r="130" spans="2:2" x14ac:dyDescent="0.3">
      <c r="B130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6"/>
  <sheetViews>
    <sheetView topLeftCell="A109" zoomScale="115" zoomScaleNormal="115" workbookViewId="0">
      <selection activeCell="A129" sqref="A129"/>
    </sheetView>
  </sheetViews>
  <sheetFormatPr defaultColWidth="9" defaultRowHeight="13" x14ac:dyDescent="0.3"/>
  <cols>
    <col min="1" max="1" width="53" style="35" bestFit="1" customWidth="1"/>
    <col min="2" max="2" width="9" style="35"/>
    <col min="3" max="3" width="9.08984375" style="4" customWidth="1"/>
    <col min="4" max="4" width="8.6328125" style="35" bestFit="1" customWidth="1"/>
    <col min="5" max="5" width="29.90625" style="35" customWidth="1"/>
    <col min="6" max="6" width="26.453125" style="35" customWidth="1"/>
    <col min="7" max="16384" width="9" style="35"/>
  </cols>
  <sheetData>
    <row r="1" spans="1:6" x14ac:dyDescent="0.3">
      <c r="A1" s="2" t="s">
        <v>61</v>
      </c>
    </row>
    <row r="2" spans="1:6" x14ac:dyDescent="0.3">
      <c r="A2" s="35" t="s">
        <v>50</v>
      </c>
      <c r="C2" s="4">
        <f>D5</f>
        <v>8114.8100000000013</v>
      </c>
    </row>
    <row r="4" spans="1:6" x14ac:dyDescent="0.3">
      <c r="A4" s="35" t="s">
        <v>62</v>
      </c>
    </row>
    <row r="5" spans="1:6" x14ac:dyDescent="0.3">
      <c r="A5" s="35" t="s">
        <v>51</v>
      </c>
      <c r="C5" s="4">
        <f>15200-(B7+B54+B84+B113)-B124</f>
        <v>7085.1899999999987</v>
      </c>
      <c r="D5" s="35">
        <f>15200-C5</f>
        <v>8114.8100000000013</v>
      </c>
      <c r="E5" s="35">
        <f>D5-C85</f>
        <v>-397.1299999999992</v>
      </c>
      <c r="F5" s="4"/>
    </row>
    <row r="6" spans="1:6" x14ac:dyDescent="0.3">
      <c r="A6" s="2" t="s">
        <v>52</v>
      </c>
      <c r="B6" s="35">
        <f>350-B7</f>
        <v>350</v>
      </c>
    </row>
    <row r="7" spans="1:6" x14ac:dyDescent="0.3">
      <c r="A7" s="35" t="s">
        <v>44</v>
      </c>
      <c r="B7" s="35">
        <f>SUM(C8:C52)</f>
        <v>0</v>
      </c>
    </row>
    <row r="8" spans="1:6" x14ac:dyDescent="0.3">
      <c r="A8" s="4" t="s">
        <v>63</v>
      </c>
      <c r="B8" s="4">
        <f>SUM(C9:C38)</f>
        <v>0</v>
      </c>
    </row>
    <row r="11" spans="1:6" x14ac:dyDescent="0.3">
      <c r="A11" s="2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  <row r="16" spans="1:6" x14ac:dyDescent="0.3">
      <c r="A16" s="2"/>
    </row>
    <row r="17" spans="1:16384" x14ac:dyDescent="0.3">
      <c r="A17" s="2"/>
    </row>
    <row r="18" spans="1:16384" x14ac:dyDescent="0.3">
      <c r="A18" s="2"/>
    </row>
    <row r="19" spans="1:16384" x14ac:dyDescent="0.3">
      <c r="A19" s="2"/>
    </row>
    <row r="20" spans="1:16384" x14ac:dyDescent="0.3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x14ac:dyDescent="0.3">
      <c r="A21" s="2"/>
    </row>
    <row r="22" spans="1:16384" x14ac:dyDescent="0.3">
      <c r="A22" s="2"/>
    </row>
    <row r="23" spans="1:16384" x14ac:dyDescent="0.3">
      <c r="A23" s="19"/>
    </row>
    <row r="24" spans="1:16384" ht="12.5" x14ac:dyDescent="0.25">
      <c r="C24" s="35"/>
    </row>
    <row r="25" spans="1:16384" x14ac:dyDescent="0.3">
      <c r="A25" s="2"/>
    </row>
    <row r="26" spans="1:16384" x14ac:dyDescent="0.3">
      <c r="A26" s="4" t="s">
        <v>64</v>
      </c>
      <c r="B26" s="35">
        <f>SUM(C27:C35)</f>
        <v>0</v>
      </c>
    </row>
    <row r="31" spans="1:16384" x14ac:dyDescent="0.3">
      <c r="A31" s="2"/>
      <c r="L31" s="53"/>
    </row>
    <row r="32" spans="1:16384" x14ac:dyDescent="0.3">
      <c r="A32" s="2"/>
    </row>
    <row r="34" spans="1:3" x14ac:dyDescent="0.3">
      <c r="A34" s="3"/>
    </row>
    <row r="37" spans="1:3" ht="12.5" x14ac:dyDescent="0.25">
      <c r="C37" s="35"/>
    </row>
    <row r="38" spans="1:3" x14ac:dyDescent="0.3">
      <c r="A38" s="4" t="s">
        <v>65</v>
      </c>
      <c r="B38" s="35">
        <f>SUM(C38:C42)</f>
        <v>0</v>
      </c>
    </row>
    <row r="39" spans="1:3" ht="12.5" x14ac:dyDescent="0.25">
      <c r="A39" s="2"/>
      <c r="C39" s="35"/>
    </row>
    <row r="41" spans="1:3" x14ac:dyDescent="0.3">
      <c r="A41" s="2"/>
    </row>
    <row r="42" spans="1:3" x14ac:dyDescent="0.3">
      <c r="A42" s="2"/>
    </row>
    <row r="44" spans="1:3" x14ac:dyDescent="0.3">
      <c r="A44" s="2"/>
    </row>
    <row r="45" spans="1:3" x14ac:dyDescent="0.3">
      <c r="A45" s="2"/>
    </row>
    <row r="47" spans="1:3" x14ac:dyDescent="0.3">
      <c r="A47" s="2"/>
    </row>
    <row r="48" spans="1:3" x14ac:dyDescent="0.3">
      <c r="A48" s="2"/>
    </row>
    <row r="49" spans="1:2" x14ac:dyDescent="0.3">
      <c r="A49" s="19"/>
    </row>
    <row r="50" spans="1:2" x14ac:dyDescent="0.3">
      <c r="A50" s="19"/>
    </row>
    <row r="51" spans="1:2" x14ac:dyDescent="0.3">
      <c r="A51" s="2"/>
    </row>
    <row r="52" spans="1:2" x14ac:dyDescent="0.3">
      <c r="A52" s="19"/>
    </row>
    <row r="53" spans="1:2" x14ac:dyDescent="0.3">
      <c r="A53" s="4" t="s">
        <v>54</v>
      </c>
      <c r="B53" s="4">
        <f>100-B54</f>
        <v>100</v>
      </c>
    </row>
    <row r="54" spans="1:2" x14ac:dyDescent="0.3">
      <c r="A54" s="35" t="s">
        <v>55</v>
      </c>
      <c r="B54" s="4">
        <f>SUM(C55:C83)</f>
        <v>0</v>
      </c>
    </row>
    <row r="57" spans="1:2" x14ac:dyDescent="0.3">
      <c r="A57" s="2"/>
    </row>
    <row r="58" spans="1:2" x14ac:dyDescent="0.3">
      <c r="A58" s="2"/>
    </row>
    <row r="59" spans="1:2" x14ac:dyDescent="0.3">
      <c r="A59" s="2"/>
    </row>
    <row r="60" spans="1:2" x14ac:dyDescent="0.3">
      <c r="A60" s="2"/>
    </row>
    <row r="61" spans="1:2" x14ac:dyDescent="0.3">
      <c r="A61" s="2"/>
    </row>
    <row r="62" spans="1:2" x14ac:dyDescent="0.3">
      <c r="A62" s="2"/>
    </row>
    <row r="63" spans="1:2" x14ac:dyDescent="0.3">
      <c r="A63" s="19"/>
    </row>
    <row r="64" spans="1:2" x14ac:dyDescent="0.3">
      <c r="A64" s="2"/>
    </row>
    <row r="65" spans="1:1" x14ac:dyDescent="0.3">
      <c r="A65" s="19"/>
    </row>
    <row r="66" spans="1:1" x14ac:dyDescent="0.3">
      <c r="A66" s="19"/>
    </row>
    <row r="67" spans="1:1" x14ac:dyDescent="0.3">
      <c r="A67" s="19"/>
    </row>
    <row r="68" spans="1:1" x14ac:dyDescent="0.3">
      <c r="A68" s="19"/>
    </row>
    <row r="69" spans="1:1" x14ac:dyDescent="0.3">
      <c r="A69" s="19"/>
    </row>
    <row r="70" spans="1:1" x14ac:dyDescent="0.3">
      <c r="A70" s="19"/>
    </row>
    <row r="71" spans="1:1" x14ac:dyDescent="0.3">
      <c r="A71" s="19"/>
    </row>
    <row r="72" spans="1:1" x14ac:dyDescent="0.3">
      <c r="A72" s="19"/>
    </row>
    <row r="73" spans="1:1" x14ac:dyDescent="0.3">
      <c r="A73" s="19"/>
    </row>
    <row r="74" spans="1:1" x14ac:dyDescent="0.3">
      <c r="A74" s="19"/>
    </row>
    <row r="75" spans="1:1" x14ac:dyDescent="0.3">
      <c r="A75" s="19"/>
    </row>
    <row r="76" spans="1:1" x14ac:dyDescent="0.3">
      <c r="A76" s="19"/>
    </row>
    <row r="77" spans="1:1" x14ac:dyDescent="0.3">
      <c r="A77" s="19"/>
    </row>
    <row r="78" spans="1:1" x14ac:dyDescent="0.3">
      <c r="A78" s="19"/>
    </row>
    <row r="79" spans="1:1" x14ac:dyDescent="0.3">
      <c r="A79" s="19"/>
    </row>
    <row r="80" spans="1:1" x14ac:dyDescent="0.3">
      <c r="A80" s="19"/>
    </row>
    <row r="81" spans="1:3" x14ac:dyDescent="0.3">
      <c r="A81" s="19"/>
    </row>
    <row r="82" spans="1:3" x14ac:dyDescent="0.3">
      <c r="A82" s="19"/>
    </row>
    <row r="83" spans="1:3" x14ac:dyDescent="0.3">
      <c r="A83" s="2"/>
    </row>
    <row r="84" spans="1:3" x14ac:dyDescent="0.3">
      <c r="A84" s="4" t="s">
        <v>57</v>
      </c>
      <c r="B84" s="35">
        <f>SUM(C85:C111)</f>
        <v>8614.8100000000013</v>
      </c>
    </row>
    <row r="85" spans="1:3" ht="12.5" x14ac:dyDescent="0.25">
      <c r="A85" s="2" t="s">
        <v>67</v>
      </c>
      <c r="C85" s="35">
        <v>8511.94</v>
      </c>
    </row>
    <row r="86" spans="1:3" x14ac:dyDescent="0.3">
      <c r="A86" s="2" t="s">
        <v>365</v>
      </c>
      <c r="C86" s="4">
        <v>102.87</v>
      </c>
    </row>
    <row r="87" spans="1:3" x14ac:dyDescent="0.3">
      <c r="A87" s="3"/>
    </row>
    <row r="88" spans="1:3" x14ac:dyDescent="0.3">
      <c r="A88" s="3"/>
    </row>
    <row r="92" spans="1:3" x14ac:dyDescent="0.3">
      <c r="A92" s="3"/>
    </row>
    <row r="93" spans="1:3" x14ac:dyDescent="0.3">
      <c r="A93" s="3"/>
    </row>
    <row r="94" spans="1:3" x14ac:dyDescent="0.3">
      <c r="A94" s="3"/>
    </row>
    <row r="95" spans="1:3" x14ac:dyDescent="0.3">
      <c r="A95" s="3"/>
    </row>
    <row r="96" spans="1:3" x14ac:dyDescent="0.3">
      <c r="A96" s="3"/>
    </row>
    <row r="97" spans="1:4" x14ac:dyDescent="0.3">
      <c r="A97" s="19"/>
    </row>
    <row r="98" spans="1:4" x14ac:dyDescent="0.3">
      <c r="A98" s="19"/>
    </row>
    <row r="99" spans="1:4" x14ac:dyDescent="0.3">
      <c r="A99" s="19"/>
    </row>
    <row r="100" spans="1:4" x14ac:dyDescent="0.3">
      <c r="A100" s="19"/>
    </row>
    <row r="101" spans="1:4" x14ac:dyDescent="0.3">
      <c r="A101" s="2"/>
    </row>
    <row r="102" spans="1:4" x14ac:dyDescent="0.3">
      <c r="A102" s="19"/>
    </row>
    <row r="103" spans="1:4" x14ac:dyDescent="0.3">
      <c r="A103" s="19"/>
    </row>
    <row r="104" spans="1:4" x14ac:dyDescent="0.3">
      <c r="A104" s="19"/>
    </row>
    <row r="105" spans="1:4" x14ac:dyDescent="0.3">
      <c r="A105" s="19"/>
    </row>
    <row r="106" spans="1:4" x14ac:dyDescent="0.3">
      <c r="A106" s="19"/>
    </row>
    <row r="107" spans="1:4" x14ac:dyDescent="0.3">
      <c r="A107" s="19"/>
      <c r="D107" s="4"/>
    </row>
    <row r="108" spans="1:4" x14ac:dyDescent="0.3">
      <c r="A108" s="19"/>
    </row>
    <row r="110" spans="1:4" x14ac:dyDescent="0.3">
      <c r="A110" s="2"/>
    </row>
    <row r="111" spans="1:4" x14ac:dyDescent="0.3">
      <c r="A111" s="2"/>
    </row>
    <row r="112" spans="1:4" x14ac:dyDescent="0.3">
      <c r="A112" s="4" t="s">
        <v>59</v>
      </c>
      <c r="B112" s="35">
        <f>150-B113</f>
        <v>150</v>
      </c>
    </row>
    <row r="113" spans="1:3" x14ac:dyDescent="0.3">
      <c r="A113" s="35" t="s">
        <v>45</v>
      </c>
      <c r="B113" s="35">
        <f>SUM(C114:C121)</f>
        <v>0</v>
      </c>
    </row>
    <row r="116" spans="1:3" x14ac:dyDescent="0.3">
      <c r="A116" s="2"/>
    </row>
    <row r="117" spans="1:3" x14ac:dyDescent="0.3">
      <c r="A117" s="2"/>
    </row>
    <row r="124" spans="1:3" x14ac:dyDescent="0.3">
      <c r="A124" s="35" t="s">
        <v>60</v>
      </c>
      <c r="B124" s="35">
        <f>SUM(C125:C163)</f>
        <v>-500</v>
      </c>
    </row>
    <row r="125" spans="1:3" x14ac:dyDescent="0.3">
      <c r="A125" s="2" t="s">
        <v>343</v>
      </c>
      <c r="C125" s="4">
        <f>-500</f>
        <v>-500</v>
      </c>
    </row>
    <row r="126" spans="1:3" x14ac:dyDescent="0.3">
      <c r="A126" s="2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95" zoomScaleNormal="100" workbookViewId="0">
      <selection activeCell="D120" sqref="D120"/>
    </sheetView>
  </sheetViews>
  <sheetFormatPr defaultColWidth="9.08984375" defaultRowHeight="12.5" x14ac:dyDescent="0.25"/>
  <cols>
    <col min="1" max="1" width="57.90625" style="35" bestFit="1" customWidth="1"/>
    <col min="2" max="3" width="9.08984375" style="35"/>
    <col min="4" max="4" width="7.90625" style="35" bestFit="1" customWidth="1"/>
    <col min="5" max="5" width="12.453125" style="35" bestFit="1" customWidth="1"/>
    <col min="6" max="6" width="40.90625" style="35" customWidth="1"/>
    <col min="7" max="16384" width="9.08984375" style="35"/>
  </cols>
  <sheetData>
    <row r="1" spans="1:6" x14ac:dyDescent="0.25">
      <c r="A1" s="78" t="s">
        <v>61</v>
      </c>
      <c r="B1" s="78"/>
      <c r="C1" s="78"/>
      <c r="D1" s="78"/>
      <c r="E1" s="78"/>
    </row>
    <row r="2" spans="1:6" x14ac:dyDescent="0.25">
      <c r="A2" s="35" t="s">
        <v>50</v>
      </c>
      <c r="C2" s="35">
        <f>D5</f>
        <v>5021.67</v>
      </c>
    </row>
    <row r="4" spans="1:6" x14ac:dyDescent="0.25">
      <c r="A4" s="35" t="s">
        <v>68</v>
      </c>
    </row>
    <row r="5" spans="1:6" ht="13" x14ac:dyDescent="0.3">
      <c r="A5" s="35" t="s">
        <v>51</v>
      </c>
      <c r="C5" s="35">
        <f>16767-(B7+B32+B57+B83)-B94</f>
        <v>11745.33</v>
      </c>
      <c r="D5" s="35">
        <f>16767-C5</f>
        <v>5021.67</v>
      </c>
      <c r="E5" s="35">
        <f>D5-C58</f>
        <v>128.42000000000007</v>
      </c>
      <c r="F5" s="4"/>
    </row>
    <row r="6" spans="1:6" ht="13" x14ac:dyDescent="0.3">
      <c r="A6" s="4" t="s">
        <v>52</v>
      </c>
      <c r="B6" s="4">
        <f>350-B7</f>
        <v>21.319999999999993</v>
      </c>
    </row>
    <row r="7" spans="1:6" x14ac:dyDescent="0.25">
      <c r="A7" s="35" t="s">
        <v>44</v>
      </c>
      <c r="B7" s="35">
        <f>SUM(C8:C30)</f>
        <v>328.68</v>
      </c>
    </row>
    <row r="8" spans="1:6" x14ac:dyDescent="0.25">
      <c r="A8" s="35" t="s">
        <v>321</v>
      </c>
      <c r="C8" s="35">
        <v>42.77</v>
      </c>
    </row>
    <row r="9" spans="1:6" x14ac:dyDescent="0.25">
      <c r="A9" s="2" t="s">
        <v>395</v>
      </c>
      <c r="C9" s="35">
        <v>166.35</v>
      </c>
    </row>
    <row r="10" spans="1:6" x14ac:dyDescent="0.25">
      <c r="A10" s="2" t="s">
        <v>393</v>
      </c>
      <c r="C10" s="35">
        <v>119.56</v>
      </c>
    </row>
    <row r="11" spans="1:6" x14ac:dyDescent="0.25">
      <c r="A11" s="2"/>
    </row>
    <row r="12" spans="1:6" ht="13" x14ac:dyDescent="0.3">
      <c r="A12" s="2"/>
      <c r="C12" s="4"/>
    </row>
    <row r="13" spans="1:6" ht="13" x14ac:dyDescent="0.3">
      <c r="A13" s="2"/>
      <c r="C13" s="4"/>
    </row>
    <row r="14" spans="1:6" ht="13" x14ac:dyDescent="0.3">
      <c r="A14" s="2"/>
      <c r="C14" s="4"/>
    </row>
    <row r="15" spans="1:6" ht="13" x14ac:dyDescent="0.3">
      <c r="A15" s="19"/>
      <c r="C15" s="4"/>
    </row>
    <row r="16" spans="1:6" ht="13" x14ac:dyDescent="0.3">
      <c r="A16" s="19"/>
      <c r="C16" s="4"/>
    </row>
    <row r="17" spans="1:5" ht="13" x14ac:dyDescent="0.3">
      <c r="A17" s="2"/>
      <c r="C17" s="4"/>
    </row>
    <row r="18" spans="1:5" ht="13" x14ac:dyDescent="0.3">
      <c r="A18" s="2"/>
      <c r="C18" s="4"/>
    </row>
    <row r="19" spans="1:5" ht="13" x14ac:dyDescent="0.3">
      <c r="A19" s="2"/>
      <c r="C19" s="4"/>
    </row>
    <row r="20" spans="1:5" ht="13" x14ac:dyDescent="0.3">
      <c r="A20" s="2"/>
      <c r="C20" s="4"/>
      <c r="D20" s="4"/>
      <c r="E20" s="4"/>
    </row>
    <row r="21" spans="1:5" ht="13" x14ac:dyDescent="0.3">
      <c r="A21" s="2"/>
      <c r="C21" s="4"/>
    </row>
    <row r="22" spans="1:5" ht="13" x14ac:dyDescent="0.3">
      <c r="A22" s="2"/>
      <c r="C22" s="4"/>
    </row>
    <row r="23" spans="1:5" ht="13" x14ac:dyDescent="0.3">
      <c r="A23" s="2"/>
      <c r="C23" s="4"/>
    </row>
    <row r="24" spans="1:5" ht="13" x14ac:dyDescent="0.3">
      <c r="A24" s="2"/>
      <c r="C24" s="4"/>
    </row>
    <row r="25" spans="1:5" ht="13" x14ac:dyDescent="0.3">
      <c r="A25" s="2"/>
      <c r="C25" s="4"/>
    </row>
    <row r="26" spans="1:5" ht="13" x14ac:dyDescent="0.3">
      <c r="A26" s="2"/>
      <c r="C26" s="4"/>
    </row>
    <row r="27" spans="1:5" ht="13" x14ac:dyDescent="0.3">
      <c r="A27" s="2"/>
      <c r="C27" s="4"/>
    </row>
    <row r="28" spans="1:5" ht="13" x14ac:dyDescent="0.3">
      <c r="A28" s="2"/>
      <c r="C28" s="4"/>
    </row>
    <row r="29" spans="1:5" ht="13" x14ac:dyDescent="0.3">
      <c r="A29" s="2"/>
      <c r="C29" s="4"/>
    </row>
    <row r="30" spans="1:5" ht="13" x14ac:dyDescent="0.3">
      <c r="A30" s="2"/>
      <c r="C30" s="4"/>
    </row>
    <row r="31" spans="1:5" ht="13" x14ac:dyDescent="0.3">
      <c r="A31" s="4" t="s">
        <v>54</v>
      </c>
      <c r="B31" s="4">
        <f>100-B32</f>
        <v>83.63</v>
      </c>
    </row>
    <row r="32" spans="1:5" ht="13" x14ac:dyDescent="0.3">
      <c r="A32" s="35" t="s">
        <v>55</v>
      </c>
      <c r="B32" s="4">
        <f>SUM(C33:C41)</f>
        <v>16.37</v>
      </c>
    </row>
    <row r="33" spans="1:3" ht="13" x14ac:dyDescent="0.3">
      <c r="A33" s="2" t="s">
        <v>396</v>
      </c>
      <c r="B33" s="4"/>
      <c r="C33" s="35">
        <v>16.37</v>
      </c>
    </row>
    <row r="34" spans="1:3" ht="13" x14ac:dyDescent="0.3">
      <c r="A34" s="19"/>
      <c r="C34" s="4"/>
    </row>
    <row r="35" spans="1:3" ht="13" x14ac:dyDescent="0.3">
      <c r="A35" s="2"/>
      <c r="C35" s="4"/>
    </row>
    <row r="36" spans="1:3" ht="13" x14ac:dyDescent="0.3">
      <c r="A36" s="2"/>
      <c r="C36" s="4"/>
    </row>
    <row r="37" spans="1:3" ht="13" x14ac:dyDescent="0.3">
      <c r="A37" s="19"/>
      <c r="C37" s="4"/>
    </row>
    <row r="38" spans="1:3" ht="13" x14ac:dyDescent="0.3">
      <c r="A38" s="19"/>
      <c r="C38" s="4"/>
    </row>
    <row r="39" spans="1:3" ht="13" x14ac:dyDescent="0.3">
      <c r="A39" s="2"/>
      <c r="C39" s="4"/>
    </row>
    <row r="40" spans="1:3" ht="13" x14ac:dyDescent="0.3">
      <c r="A40" s="2"/>
      <c r="C40" s="4"/>
    </row>
    <row r="41" spans="1:3" ht="13" x14ac:dyDescent="0.3">
      <c r="A41" s="2"/>
      <c r="C41" s="4"/>
    </row>
    <row r="42" spans="1:3" ht="13" x14ac:dyDescent="0.3">
      <c r="A42" s="2"/>
      <c r="C42" s="4"/>
    </row>
    <row r="43" spans="1:3" ht="13" x14ac:dyDescent="0.3">
      <c r="A43" s="2"/>
      <c r="C43" s="4"/>
    </row>
    <row r="44" spans="1:3" ht="13" x14ac:dyDescent="0.3">
      <c r="A44" s="2"/>
      <c r="C44" s="4"/>
    </row>
    <row r="45" spans="1:3" ht="13" x14ac:dyDescent="0.3">
      <c r="A45" s="2"/>
      <c r="C45" s="4"/>
    </row>
    <row r="46" spans="1:3" ht="13" x14ac:dyDescent="0.3">
      <c r="A46" s="2"/>
      <c r="C46" s="4"/>
    </row>
    <row r="47" spans="1:3" ht="13" x14ac:dyDescent="0.3">
      <c r="A47" s="2"/>
      <c r="C47" s="4"/>
    </row>
    <row r="48" spans="1:3" ht="13" x14ac:dyDescent="0.3">
      <c r="A48" s="2"/>
      <c r="C48" s="4"/>
    </row>
    <row r="49" spans="1:3" ht="13" x14ac:dyDescent="0.3">
      <c r="A49" s="2"/>
      <c r="C49" s="4"/>
    </row>
    <row r="50" spans="1:3" ht="13" x14ac:dyDescent="0.3">
      <c r="A50" s="2"/>
      <c r="C50" s="4"/>
    </row>
    <row r="51" spans="1:3" ht="13" x14ac:dyDescent="0.3">
      <c r="A51" s="2"/>
      <c r="C51" s="4"/>
    </row>
    <row r="52" spans="1:3" ht="13" x14ac:dyDescent="0.3">
      <c r="A52" s="2"/>
      <c r="C52" s="4"/>
    </row>
    <row r="53" spans="1:3" ht="13" x14ac:dyDescent="0.3">
      <c r="A53" s="2"/>
      <c r="C53" s="4"/>
    </row>
    <row r="54" spans="1:3" ht="13" x14ac:dyDescent="0.3">
      <c r="A54" s="2"/>
      <c r="C54" s="4"/>
    </row>
    <row r="55" spans="1:3" x14ac:dyDescent="0.25">
      <c r="A55" s="2"/>
    </row>
    <row r="56" spans="1:3" ht="13" x14ac:dyDescent="0.3">
      <c r="A56" s="4" t="s">
        <v>56</v>
      </c>
      <c r="B56" s="4">
        <f>(120+100+15.52+30.86+48.07+78.73+86.33+0.49)-B57</f>
        <v>-4480.75</v>
      </c>
    </row>
    <row r="57" spans="1:3" x14ac:dyDescent="0.25">
      <c r="A57" s="35" t="s">
        <v>57</v>
      </c>
      <c r="B57" s="35">
        <f>SUM(C58:C78)</f>
        <v>4960.75</v>
      </c>
    </row>
    <row r="58" spans="1:3" x14ac:dyDescent="0.25">
      <c r="A58" s="2" t="s">
        <v>66</v>
      </c>
      <c r="C58" s="35">
        <v>4893.25</v>
      </c>
    </row>
    <row r="59" spans="1:3" x14ac:dyDescent="0.25">
      <c r="A59" s="2" t="s">
        <v>397</v>
      </c>
      <c r="C59" s="35">
        <v>67.5</v>
      </c>
    </row>
    <row r="60" spans="1:3" ht="13" x14ac:dyDescent="0.3">
      <c r="A60" s="2"/>
      <c r="C60" s="4"/>
    </row>
    <row r="61" spans="1:3" ht="13" x14ac:dyDescent="0.3">
      <c r="A61" s="2"/>
      <c r="C61" s="4"/>
    </row>
    <row r="62" spans="1:3" ht="13" x14ac:dyDescent="0.3">
      <c r="A62" s="2"/>
      <c r="C62" s="4"/>
    </row>
    <row r="63" spans="1:3" ht="13" x14ac:dyDescent="0.3">
      <c r="A63" s="2"/>
      <c r="C63" s="4"/>
    </row>
    <row r="64" spans="1:3" ht="13" x14ac:dyDescent="0.3">
      <c r="A64" s="19"/>
      <c r="C64" s="4"/>
    </row>
    <row r="65" spans="1:8" ht="13" x14ac:dyDescent="0.3">
      <c r="A65" s="19"/>
      <c r="C65" s="4"/>
      <c r="H65" s="4"/>
    </row>
    <row r="66" spans="1:8" ht="13" x14ac:dyDescent="0.3">
      <c r="A66" s="19"/>
      <c r="C66" s="4"/>
    </row>
    <row r="67" spans="1:8" ht="13" x14ac:dyDescent="0.3">
      <c r="A67" s="19"/>
      <c r="C67" s="4"/>
    </row>
    <row r="68" spans="1:8" ht="13" x14ac:dyDescent="0.3">
      <c r="A68" s="19"/>
      <c r="C68" s="4"/>
    </row>
    <row r="69" spans="1:8" ht="13" x14ac:dyDescent="0.3">
      <c r="A69" s="2"/>
      <c r="C69" s="4"/>
    </row>
    <row r="70" spans="1:8" ht="13" x14ac:dyDescent="0.3">
      <c r="A70" s="2"/>
      <c r="C70" s="4"/>
    </row>
    <row r="71" spans="1:8" ht="13" x14ac:dyDescent="0.3">
      <c r="A71" s="2"/>
      <c r="C71" s="4"/>
    </row>
    <row r="72" spans="1:8" ht="13" x14ac:dyDescent="0.3">
      <c r="A72" s="2"/>
      <c r="C72" s="4"/>
    </row>
    <row r="73" spans="1:8" ht="13" x14ac:dyDescent="0.3">
      <c r="A73" s="2"/>
      <c r="C73" s="4"/>
    </row>
    <row r="74" spans="1:8" ht="13" x14ac:dyDescent="0.3">
      <c r="A74" s="2"/>
      <c r="C74" s="4"/>
    </row>
    <row r="75" spans="1:8" ht="13" x14ac:dyDescent="0.3">
      <c r="A75" s="2"/>
      <c r="C75" s="4"/>
    </row>
    <row r="76" spans="1:8" ht="13" x14ac:dyDescent="0.3">
      <c r="A76" s="2"/>
      <c r="C76" s="4"/>
    </row>
    <row r="77" spans="1:8" ht="13" x14ac:dyDescent="0.3">
      <c r="A77" s="2"/>
      <c r="C77" s="4"/>
    </row>
    <row r="78" spans="1:8" ht="13" x14ac:dyDescent="0.3">
      <c r="A78" s="2"/>
      <c r="C78" s="4"/>
    </row>
    <row r="80" spans="1:8" ht="13" x14ac:dyDescent="0.3">
      <c r="A80" s="2"/>
      <c r="C80" s="4"/>
    </row>
    <row r="81" spans="1:3" ht="13" x14ac:dyDescent="0.3">
      <c r="A81" s="2"/>
      <c r="C81" s="4"/>
    </row>
    <row r="82" spans="1:3" ht="13" x14ac:dyDescent="0.3">
      <c r="A82" s="4" t="s">
        <v>59</v>
      </c>
      <c r="B82" s="4">
        <f>150-B83</f>
        <v>-65.87</v>
      </c>
    </row>
    <row r="83" spans="1:3" x14ac:dyDescent="0.25">
      <c r="A83" s="2" t="s">
        <v>69</v>
      </c>
      <c r="B83" s="35">
        <f>SUM(C84:C93)</f>
        <v>215.87</v>
      </c>
    </row>
    <row r="84" spans="1:3" x14ac:dyDescent="0.25">
      <c r="A84" s="2" t="s">
        <v>320</v>
      </c>
      <c r="C84" s="35">
        <v>36.6</v>
      </c>
    </row>
    <row r="85" spans="1:3" x14ac:dyDescent="0.25">
      <c r="A85" s="2" t="s">
        <v>322</v>
      </c>
      <c r="C85" s="35">
        <v>35.31</v>
      </c>
    </row>
    <row r="86" spans="1:3" x14ac:dyDescent="0.25">
      <c r="A86" s="2" t="s">
        <v>367</v>
      </c>
      <c r="C86" s="35">
        <v>54.09</v>
      </c>
    </row>
    <row r="87" spans="1:3" x14ac:dyDescent="0.25">
      <c r="A87" s="2" t="s">
        <v>368</v>
      </c>
      <c r="C87" s="35">
        <v>47.51</v>
      </c>
    </row>
    <row r="88" spans="1:3" ht="13" x14ac:dyDescent="0.3">
      <c r="A88" s="2" t="s">
        <v>394</v>
      </c>
      <c r="C88" s="4">
        <v>42.36</v>
      </c>
    </row>
    <row r="89" spans="1:3" ht="13" x14ac:dyDescent="0.3">
      <c r="A89" s="2"/>
      <c r="C89" s="4"/>
    </row>
    <row r="90" spans="1:3" ht="13" x14ac:dyDescent="0.3">
      <c r="A90" s="2"/>
      <c r="C90" s="4"/>
    </row>
    <row r="91" spans="1:3" ht="13" x14ac:dyDescent="0.3">
      <c r="A91" s="2"/>
      <c r="C91" s="4"/>
    </row>
    <row r="92" spans="1:3" x14ac:dyDescent="0.25">
      <c r="A92" s="2"/>
    </row>
    <row r="94" spans="1:3" x14ac:dyDescent="0.25">
      <c r="A94" s="35" t="s">
        <v>60</v>
      </c>
      <c r="B94" s="35">
        <f>SUM(C95:C120)</f>
        <v>-500</v>
      </c>
    </row>
    <row r="95" spans="1:3" ht="13" x14ac:dyDescent="0.3">
      <c r="A95" s="2" t="s">
        <v>366</v>
      </c>
      <c r="C95" s="4">
        <f>-500</f>
        <v>-500</v>
      </c>
    </row>
    <row r="96" spans="1:3" ht="13" x14ac:dyDescent="0.3">
      <c r="A96" s="2"/>
      <c r="C96" s="4"/>
    </row>
    <row r="97" spans="1:3" ht="13" x14ac:dyDescent="0.3">
      <c r="A97" s="2" t="s">
        <v>412</v>
      </c>
      <c r="B97" s="4">
        <v>43.5</v>
      </c>
    </row>
    <row r="98" spans="1:3" x14ac:dyDescent="0.25">
      <c r="A98" s="2" t="s">
        <v>411</v>
      </c>
      <c r="B98" s="35">
        <v>120</v>
      </c>
    </row>
    <row r="99" spans="1:3" x14ac:dyDescent="0.25">
      <c r="A99" s="2" t="s">
        <v>421</v>
      </c>
      <c r="B99" s="35">
        <v>41.34</v>
      </c>
    </row>
    <row r="100" spans="1:3" ht="13" x14ac:dyDescent="0.3">
      <c r="A100" s="2"/>
      <c r="C100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opLeftCell="A4" zoomScaleNormal="100" workbookViewId="0">
      <selection activeCell="E31" sqref="E31"/>
    </sheetView>
  </sheetViews>
  <sheetFormatPr defaultColWidth="9.08984375" defaultRowHeight="12.5" x14ac:dyDescent="0.25"/>
  <cols>
    <col min="1" max="1" width="57.90625" style="1" bestFit="1" customWidth="1"/>
    <col min="2" max="3" width="9.08984375" style="1"/>
    <col min="4" max="4" width="7.90625" style="1" bestFit="1" customWidth="1"/>
    <col min="5" max="5" width="12.453125" style="1" bestFit="1" customWidth="1"/>
    <col min="6" max="6" width="40.90625" style="1" customWidth="1"/>
    <col min="7" max="16384" width="9.08984375" style="1"/>
  </cols>
  <sheetData>
    <row r="1" spans="1:7" s="16" customFormat="1" x14ac:dyDescent="0.25">
      <c r="A1" s="78" t="s">
        <v>61</v>
      </c>
      <c r="B1" s="78"/>
      <c r="C1" s="78"/>
      <c r="D1" s="78"/>
      <c r="E1" s="78"/>
      <c r="F1" s="35"/>
      <c r="G1" s="35"/>
    </row>
    <row r="2" spans="1:7" x14ac:dyDescent="0.25">
      <c r="A2" s="35" t="s">
        <v>50</v>
      </c>
      <c r="B2" s="35"/>
      <c r="C2" s="35">
        <f>D5</f>
        <v>0</v>
      </c>
      <c r="D2" s="35"/>
      <c r="E2" s="35"/>
      <c r="F2" s="35"/>
      <c r="G2" s="35"/>
    </row>
    <row r="4" spans="1:7" x14ac:dyDescent="0.25">
      <c r="A4" s="35" t="s">
        <v>70</v>
      </c>
      <c r="B4" s="35"/>
      <c r="C4" s="35"/>
      <c r="D4" s="35"/>
      <c r="E4" s="35"/>
      <c r="F4" s="35"/>
      <c r="G4" s="35"/>
    </row>
    <row r="5" spans="1:7" ht="13" x14ac:dyDescent="0.3">
      <c r="A5" s="35" t="s">
        <v>51</v>
      </c>
      <c r="B5" s="35"/>
      <c r="C5" s="35">
        <f>4100-(B7+B26+B51+B77)-B88</f>
        <v>4100</v>
      </c>
      <c r="D5" s="35">
        <f>4100-C5</f>
        <v>0</v>
      </c>
      <c r="E5" s="35">
        <f>D5-C52</f>
        <v>0</v>
      </c>
      <c r="F5" s="4"/>
      <c r="G5" s="35"/>
    </row>
    <row r="6" spans="1:7" s="6" customFormat="1" ht="13" x14ac:dyDescent="0.3">
      <c r="A6" s="4" t="s">
        <v>52</v>
      </c>
      <c r="B6" s="4">
        <f>350-B7</f>
        <v>350</v>
      </c>
      <c r="C6" s="35"/>
      <c r="D6" s="35"/>
      <c r="E6" s="35"/>
      <c r="F6" s="35"/>
      <c r="G6" s="35"/>
    </row>
    <row r="7" spans="1:7" x14ac:dyDescent="0.25">
      <c r="A7" s="35" t="s">
        <v>44</v>
      </c>
      <c r="B7" s="35">
        <f>SUM(C8:C24)</f>
        <v>0</v>
      </c>
      <c r="C7" s="35"/>
      <c r="D7" s="35"/>
      <c r="E7" s="35"/>
      <c r="F7" s="35"/>
      <c r="G7" s="35"/>
    </row>
    <row r="8" spans="1:7" ht="13" x14ac:dyDescent="0.3">
      <c r="A8" s="3"/>
      <c r="B8" s="35"/>
      <c r="C8" s="4"/>
      <c r="D8" s="35"/>
      <c r="E8" s="35"/>
      <c r="F8" s="35"/>
      <c r="G8" s="35"/>
    </row>
    <row r="9" spans="1:7" x14ac:dyDescent="0.25">
      <c r="A9" s="35"/>
      <c r="B9" s="35"/>
      <c r="C9" s="35"/>
      <c r="D9" s="35"/>
      <c r="E9" s="35"/>
      <c r="F9" s="35"/>
      <c r="G9" s="35"/>
    </row>
    <row r="10" spans="1:7" x14ac:dyDescent="0.25">
      <c r="A10" s="35"/>
      <c r="B10" s="35"/>
      <c r="C10" s="35"/>
      <c r="D10" s="35"/>
      <c r="E10" s="35"/>
      <c r="F10" s="35"/>
      <c r="G10" s="35"/>
    </row>
    <row r="11" spans="1:7" x14ac:dyDescent="0.25">
      <c r="A11" s="35"/>
      <c r="B11" s="35"/>
      <c r="C11" s="35"/>
      <c r="D11" s="35"/>
      <c r="E11" s="35"/>
      <c r="F11" s="35"/>
      <c r="G11" s="35"/>
    </row>
    <row r="12" spans="1:7" x14ac:dyDescent="0.25">
      <c r="A12" s="35"/>
      <c r="B12" s="35"/>
      <c r="C12" s="35"/>
      <c r="D12" s="35"/>
      <c r="E12" s="35"/>
      <c r="F12" s="35"/>
      <c r="G12" s="35"/>
    </row>
    <row r="13" spans="1:7" x14ac:dyDescent="0.25">
      <c r="A13" s="35"/>
      <c r="B13" s="35"/>
      <c r="C13" s="35"/>
      <c r="D13" s="35"/>
      <c r="E13" s="35"/>
      <c r="F13" s="35"/>
      <c r="G13" s="35"/>
    </row>
    <row r="14" spans="1:7" ht="13" x14ac:dyDescent="0.3">
      <c r="A14" s="35"/>
      <c r="B14" s="35"/>
      <c r="C14" s="4"/>
      <c r="D14" s="35"/>
      <c r="E14" s="35"/>
      <c r="F14" s="35"/>
      <c r="G14" s="35"/>
    </row>
    <row r="15" spans="1:7" ht="13" x14ac:dyDescent="0.3">
      <c r="A15" s="35"/>
      <c r="B15" s="35"/>
      <c r="C15" s="4"/>
      <c r="D15" s="35"/>
      <c r="E15" s="35"/>
      <c r="F15" s="35"/>
      <c r="G15" s="35"/>
    </row>
    <row r="16" spans="1:7" ht="13" x14ac:dyDescent="0.3">
      <c r="A16" s="35"/>
      <c r="B16" s="35"/>
      <c r="C16" s="4"/>
      <c r="D16" s="35"/>
      <c r="E16" s="35"/>
      <c r="F16" s="35"/>
      <c r="G16" s="35"/>
    </row>
    <row r="17" spans="1:5" ht="13" x14ac:dyDescent="0.3">
      <c r="A17" s="35"/>
      <c r="B17" s="35"/>
      <c r="C17" s="4"/>
      <c r="D17" s="35"/>
      <c r="E17" s="35"/>
    </row>
    <row r="18" spans="1:5" ht="13" x14ac:dyDescent="0.3">
      <c r="A18" s="35"/>
      <c r="B18" s="35"/>
      <c r="C18" s="4"/>
      <c r="D18" s="35"/>
      <c r="E18" s="35"/>
    </row>
    <row r="19" spans="1:5" x14ac:dyDescent="0.25">
      <c r="A19" s="35"/>
      <c r="B19" s="35"/>
      <c r="C19" s="35"/>
      <c r="D19" s="35"/>
      <c r="E19" s="35"/>
    </row>
    <row r="20" spans="1:5" ht="13" x14ac:dyDescent="0.3">
      <c r="A20" s="35"/>
      <c r="B20" s="35"/>
      <c r="C20" s="4"/>
      <c r="D20" s="4"/>
      <c r="E20" s="4"/>
    </row>
    <row r="21" spans="1:5" ht="13" x14ac:dyDescent="0.3">
      <c r="A21" s="2"/>
      <c r="B21" s="35"/>
      <c r="C21" s="4"/>
      <c r="D21" s="35"/>
      <c r="E21" s="35"/>
    </row>
    <row r="22" spans="1:5" x14ac:dyDescent="0.25">
      <c r="A22" s="2"/>
      <c r="B22" s="35"/>
      <c r="C22" s="35"/>
      <c r="D22" s="35"/>
      <c r="E22" s="35"/>
    </row>
    <row r="23" spans="1:5" ht="13" x14ac:dyDescent="0.3">
      <c r="A23" s="2"/>
      <c r="B23" s="35"/>
      <c r="C23" s="4"/>
      <c r="D23" s="35"/>
      <c r="E23" s="35"/>
    </row>
    <row r="24" spans="1:5" ht="13" x14ac:dyDescent="0.3">
      <c r="A24" s="2"/>
      <c r="B24" s="35"/>
      <c r="C24" s="4"/>
      <c r="D24" s="35"/>
      <c r="E24" s="35"/>
    </row>
    <row r="25" spans="1:5" ht="13" x14ac:dyDescent="0.3">
      <c r="A25" s="4" t="s">
        <v>54</v>
      </c>
      <c r="B25" s="4">
        <f>100-B26</f>
        <v>100</v>
      </c>
      <c r="C25" s="35"/>
      <c r="D25" s="35"/>
      <c r="E25" s="35"/>
    </row>
    <row r="26" spans="1:5" s="26" customFormat="1" ht="13" x14ac:dyDescent="0.3">
      <c r="A26" s="35" t="s">
        <v>55</v>
      </c>
      <c r="B26" s="4">
        <f>SUM(C27:C35)</f>
        <v>0</v>
      </c>
      <c r="C26" s="35"/>
      <c r="D26" s="35"/>
      <c r="E26" s="35"/>
    </row>
    <row r="27" spans="1:5" s="26" customFormat="1" x14ac:dyDescent="0.25">
      <c r="A27" s="2"/>
      <c r="B27" s="35"/>
      <c r="C27" s="35"/>
      <c r="D27" s="35"/>
      <c r="E27" s="35"/>
    </row>
    <row r="28" spans="1:5" s="26" customFormat="1" x14ac:dyDescent="0.25">
      <c r="A28" s="2"/>
      <c r="B28" s="35"/>
      <c r="C28" s="35"/>
      <c r="D28" s="35"/>
      <c r="E28" s="35"/>
    </row>
    <row r="29" spans="1:5" s="26" customFormat="1" ht="13" x14ac:dyDescent="0.3">
      <c r="A29" s="3"/>
      <c r="B29" s="35"/>
      <c r="C29" s="4"/>
      <c r="D29" s="35"/>
      <c r="E29" s="35"/>
    </row>
    <row r="30" spans="1:5" s="17" customFormat="1" ht="13" x14ac:dyDescent="0.3">
      <c r="A30" s="2"/>
      <c r="B30" s="35"/>
      <c r="C30" s="4"/>
      <c r="D30" s="35"/>
      <c r="E30" s="35"/>
    </row>
    <row r="31" spans="1:5" s="6" customFormat="1" ht="13" x14ac:dyDescent="0.3">
      <c r="A31" s="3"/>
      <c r="B31" s="35"/>
      <c r="C31" s="4"/>
      <c r="D31" s="35"/>
      <c r="E31" s="35"/>
    </row>
    <row r="32" spans="1:5" ht="13" x14ac:dyDescent="0.3">
      <c r="A32" s="3"/>
      <c r="B32" s="35"/>
      <c r="C32" s="4"/>
      <c r="D32" s="35"/>
      <c r="E32" s="35"/>
    </row>
    <row r="33" spans="1:3" ht="13" x14ac:dyDescent="0.3">
      <c r="A33" s="2"/>
      <c r="B33" s="35"/>
      <c r="C33" s="4"/>
    </row>
    <row r="34" spans="1:3" ht="13" x14ac:dyDescent="0.3">
      <c r="A34" s="2"/>
      <c r="B34" s="35"/>
      <c r="C34" s="4"/>
    </row>
    <row r="35" spans="1:3" ht="13" x14ac:dyDescent="0.3">
      <c r="A35" s="2"/>
      <c r="B35" s="35"/>
      <c r="C35" s="4"/>
    </row>
    <row r="36" spans="1:3" ht="13" x14ac:dyDescent="0.3">
      <c r="A36" s="2"/>
      <c r="B36" s="35"/>
      <c r="C36" s="4"/>
    </row>
    <row r="37" spans="1:3" ht="13" x14ac:dyDescent="0.3">
      <c r="A37" s="2"/>
      <c r="B37" s="35"/>
      <c r="C37" s="4"/>
    </row>
    <row r="38" spans="1:3" ht="13" x14ac:dyDescent="0.3">
      <c r="A38" s="2"/>
      <c r="B38" s="35"/>
      <c r="C38" s="4"/>
    </row>
    <row r="39" spans="1:3" ht="13" x14ac:dyDescent="0.3">
      <c r="A39" s="2"/>
      <c r="B39" s="35"/>
      <c r="C39" s="4"/>
    </row>
    <row r="40" spans="1:3" ht="13" x14ac:dyDescent="0.3">
      <c r="A40" s="2"/>
      <c r="B40" s="35"/>
      <c r="C40" s="4"/>
    </row>
    <row r="41" spans="1:3" ht="13" x14ac:dyDescent="0.3">
      <c r="A41" s="2"/>
      <c r="B41" s="35"/>
      <c r="C41" s="4"/>
    </row>
    <row r="42" spans="1:3" ht="13" x14ac:dyDescent="0.3">
      <c r="A42" s="2"/>
      <c r="B42" s="35"/>
      <c r="C42" s="4"/>
    </row>
    <row r="43" spans="1:3" ht="13" x14ac:dyDescent="0.3">
      <c r="A43" s="2"/>
      <c r="B43" s="35"/>
      <c r="C43" s="4"/>
    </row>
    <row r="44" spans="1:3" ht="13" x14ac:dyDescent="0.3">
      <c r="A44" s="2"/>
      <c r="B44" s="35"/>
      <c r="C44" s="4"/>
    </row>
    <row r="45" spans="1:3" ht="13" x14ac:dyDescent="0.3">
      <c r="A45" s="2"/>
      <c r="B45" s="35"/>
      <c r="C45" s="4"/>
    </row>
    <row r="46" spans="1:3" s="5" customFormat="1" ht="13" x14ac:dyDescent="0.3">
      <c r="A46" s="2"/>
      <c r="B46" s="35"/>
      <c r="C46" s="4"/>
    </row>
    <row r="47" spans="1:3" s="5" customFormat="1" ht="13" x14ac:dyDescent="0.3">
      <c r="A47" s="2"/>
      <c r="B47" s="35"/>
      <c r="C47" s="4"/>
    </row>
    <row r="48" spans="1:3" s="18" customFormat="1" ht="13" x14ac:dyDescent="0.3">
      <c r="A48" s="2"/>
      <c r="B48" s="35"/>
      <c r="C48" s="4"/>
    </row>
    <row r="49" spans="1:8" s="17" customFormat="1" x14ac:dyDescent="0.25">
      <c r="A49" s="2"/>
      <c r="B49" s="35"/>
      <c r="C49" s="35"/>
      <c r="D49" s="35"/>
      <c r="E49" s="35"/>
      <c r="F49" s="35"/>
      <c r="G49" s="35"/>
      <c r="H49" s="35"/>
    </row>
    <row r="50" spans="1:8" s="6" customFormat="1" ht="13" x14ac:dyDescent="0.3">
      <c r="A50" s="4" t="s">
        <v>56</v>
      </c>
      <c r="B50" s="4">
        <f>(120+100+15.52+30.86+48.07+78.73+86.33+0.49)-B51</f>
        <v>480</v>
      </c>
      <c r="C50" s="35"/>
      <c r="D50" s="35"/>
      <c r="E50" s="35"/>
      <c r="F50" s="35"/>
      <c r="G50" s="35"/>
      <c r="H50" s="35"/>
    </row>
    <row r="51" spans="1:8" x14ac:dyDescent="0.25">
      <c r="A51" s="35" t="s">
        <v>57</v>
      </c>
      <c r="B51" s="35">
        <f>SUM(C52:C72)</f>
        <v>0</v>
      </c>
      <c r="C51" s="35"/>
      <c r="D51" s="35"/>
      <c r="E51" s="35"/>
      <c r="F51" s="35"/>
      <c r="G51" s="35"/>
      <c r="H51" s="35"/>
    </row>
    <row r="52" spans="1:8" x14ac:dyDescent="0.25">
      <c r="A52" s="2"/>
      <c r="B52" s="35"/>
      <c r="C52" s="35"/>
      <c r="D52" s="35"/>
      <c r="E52" s="35"/>
      <c r="F52" s="35"/>
      <c r="G52" s="35"/>
      <c r="H52" s="35"/>
    </row>
    <row r="53" spans="1:8" x14ac:dyDescent="0.25">
      <c r="A53" s="2"/>
      <c r="B53" s="35"/>
      <c r="C53" s="35"/>
      <c r="D53" s="35"/>
      <c r="E53" s="35"/>
      <c r="F53" s="35"/>
      <c r="G53" s="35"/>
      <c r="H53" s="35"/>
    </row>
    <row r="54" spans="1:8" ht="13" x14ac:dyDescent="0.3">
      <c r="A54" s="2"/>
      <c r="B54" s="35"/>
      <c r="C54" s="4"/>
      <c r="D54" s="35"/>
      <c r="E54" s="35"/>
      <c r="F54" s="35"/>
      <c r="G54" s="35"/>
      <c r="H54" s="35"/>
    </row>
    <row r="55" spans="1:8" x14ac:dyDescent="0.25">
      <c r="A55" s="2"/>
      <c r="B55" s="35"/>
      <c r="C55" s="35"/>
      <c r="D55" s="35"/>
      <c r="E55" s="35"/>
      <c r="F55" s="35"/>
      <c r="G55" s="35"/>
      <c r="H55" s="35"/>
    </row>
    <row r="56" spans="1:8" ht="13" x14ac:dyDescent="0.3">
      <c r="A56" s="2"/>
      <c r="B56" s="35"/>
      <c r="C56" s="4"/>
      <c r="D56" s="35"/>
      <c r="E56" s="35"/>
      <c r="F56" s="35"/>
      <c r="G56" s="35"/>
      <c r="H56" s="35"/>
    </row>
    <row r="57" spans="1:8" ht="13" x14ac:dyDescent="0.3">
      <c r="A57" s="2"/>
      <c r="B57" s="35"/>
      <c r="C57" s="4"/>
      <c r="D57" s="35"/>
      <c r="E57" s="35"/>
      <c r="F57" s="35"/>
      <c r="G57" s="35"/>
      <c r="H57" s="35"/>
    </row>
    <row r="58" spans="1:8" ht="13" x14ac:dyDescent="0.3">
      <c r="A58" s="2"/>
      <c r="B58" s="35"/>
      <c r="C58" s="4"/>
      <c r="D58" s="35"/>
      <c r="E58" s="35"/>
      <c r="F58" s="35"/>
      <c r="G58" s="35"/>
      <c r="H58" s="35"/>
    </row>
    <row r="59" spans="1:8" ht="13" x14ac:dyDescent="0.3">
      <c r="A59" s="35"/>
      <c r="B59" s="35"/>
      <c r="C59" s="35"/>
      <c r="D59" s="35"/>
      <c r="E59" s="35"/>
      <c r="F59" s="35"/>
      <c r="G59" s="35"/>
      <c r="H59" s="4"/>
    </row>
    <row r="60" spans="1:8" ht="13" x14ac:dyDescent="0.3">
      <c r="A60" s="2"/>
      <c r="B60" s="35"/>
      <c r="C60" s="4"/>
      <c r="D60" s="35"/>
      <c r="E60" s="35"/>
      <c r="F60" s="35"/>
      <c r="G60" s="35"/>
      <c r="H60" s="35"/>
    </row>
    <row r="61" spans="1:8" ht="13" x14ac:dyDescent="0.3">
      <c r="A61" s="2"/>
      <c r="B61" s="35"/>
      <c r="C61" s="4"/>
      <c r="D61" s="35"/>
      <c r="E61" s="35"/>
      <c r="F61" s="35"/>
      <c r="G61" s="35"/>
      <c r="H61" s="35"/>
    </row>
    <row r="62" spans="1:8" ht="13" x14ac:dyDescent="0.3">
      <c r="A62" s="3"/>
      <c r="B62" s="35"/>
      <c r="C62" s="4"/>
      <c r="D62" s="35"/>
      <c r="E62" s="35"/>
      <c r="F62" s="35"/>
      <c r="G62" s="35"/>
      <c r="H62" s="35"/>
    </row>
    <row r="63" spans="1:8" s="8" customFormat="1" ht="13" x14ac:dyDescent="0.3">
      <c r="A63" s="3"/>
      <c r="B63" s="35"/>
      <c r="C63" s="4"/>
      <c r="D63" s="35"/>
      <c r="E63" s="35"/>
      <c r="F63" s="35"/>
      <c r="G63" s="35"/>
      <c r="H63" s="35"/>
    </row>
    <row r="64" spans="1:8" s="9" customFormat="1" ht="13" x14ac:dyDescent="0.3">
      <c r="A64" s="3"/>
      <c r="B64" s="35"/>
      <c r="C64" s="4"/>
      <c r="D64" s="35"/>
      <c r="E64" s="35"/>
      <c r="F64" s="35"/>
      <c r="G64" s="35"/>
      <c r="H64" s="35"/>
    </row>
    <row r="65" spans="1:3" s="9" customFormat="1" ht="13" x14ac:dyDescent="0.3">
      <c r="A65" s="2"/>
      <c r="B65" s="35"/>
      <c r="C65" s="4"/>
    </row>
    <row r="66" spans="1:3" s="10" customFormat="1" ht="13" x14ac:dyDescent="0.3">
      <c r="A66" s="2"/>
      <c r="B66" s="35"/>
      <c r="C66" s="4"/>
    </row>
    <row r="67" spans="1:3" s="11" customFormat="1" ht="13" x14ac:dyDescent="0.3">
      <c r="A67" s="2"/>
      <c r="B67" s="35"/>
      <c r="C67" s="4"/>
    </row>
    <row r="68" spans="1:3" s="12" customFormat="1" ht="13" x14ac:dyDescent="0.3">
      <c r="A68" s="2"/>
      <c r="B68" s="35"/>
      <c r="C68" s="4"/>
    </row>
    <row r="69" spans="1:3" s="15" customFormat="1" ht="13" x14ac:dyDescent="0.3">
      <c r="A69" s="2"/>
      <c r="B69" s="35"/>
      <c r="C69" s="4"/>
    </row>
    <row r="70" spans="1:3" ht="13" x14ac:dyDescent="0.3">
      <c r="A70" s="2"/>
      <c r="B70" s="35"/>
      <c r="C70" s="4"/>
    </row>
    <row r="71" spans="1:3" s="35" customFormat="1" ht="13" x14ac:dyDescent="0.3">
      <c r="A71" s="2"/>
      <c r="C71" s="4"/>
    </row>
    <row r="72" spans="1:3" s="35" customFormat="1" ht="13" x14ac:dyDescent="0.3">
      <c r="A72" s="2"/>
      <c r="C72" s="4"/>
    </row>
    <row r="73" spans="1:3" s="35" customFormat="1" x14ac:dyDescent="0.25"/>
    <row r="74" spans="1:3" s="35" customFormat="1" ht="13" x14ac:dyDescent="0.3">
      <c r="A74" s="2"/>
      <c r="C74" s="4"/>
    </row>
    <row r="75" spans="1:3" s="35" customFormat="1" ht="13" x14ac:dyDescent="0.3">
      <c r="A75" s="2"/>
      <c r="C75" s="4"/>
    </row>
    <row r="76" spans="1:3" s="6" customFormat="1" ht="13" x14ac:dyDescent="0.3">
      <c r="A76" s="4" t="s">
        <v>59</v>
      </c>
      <c r="B76" s="4">
        <f>150-B77</f>
        <v>150</v>
      </c>
      <c r="C76" s="35"/>
    </row>
    <row r="77" spans="1:3" x14ac:dyDescent="0.25">
      <c r="A77" s="2" t="s">
        <v>69</v>
      </c>
      <c r="B77" s="35">
        <f>SUM(C78:C84)</f>
        <v>0</v>
      </c>
      <c r="C77" s="35"/>
    </row>
    <row r="78" spans="1:3" ht="13" x14ac:dyDescent="0.3">
      <c r="A78" s="2"/>
      <c r="B78" s="35"/>
      <c r="C78" s="4"/>
    </row>
    <row r="79" spans="1:3" ht="13" x14ac:dyDescent="0.3">
      <c r="A79" s="2"/>
      <c r="B79" s="35"/>
      <c r="C79" s="4"/>
    </row>
    <row r="80" spans="1:3" ht="13" x14ac:dyDescent="0.3">
      <c r="A80" s="2"/>
      <c r="B80" s="35"/>
      <c r="C80" s="4"/>
    </row>
    <row r="81" spans="1:3" ht="13" x14ac:dyDescent="0.3">
      <c r="A81" s="2"/>
      <c r="B81" s="35"/>
      <c r="C81" s="4"/>
    </row>
    <row r="82" spans="1:3" ht="13" x14ac:dyDescent="0.3">
      <c r="A82" s="2"/>
      <c r="B82" s="35"/>
      <c r="C82" s="4"/>
    </row>
    <row r="83" spans="1:3" ht="13" x14ac:dyDescent="0.3">
      <c r="A83" s="2"/>
      <c r="B83" s="35"/>
      <c r="C83" s="4"/>
    </row>
    <row r="84" spans="1:3" ht="13" x14ac:dyDescent="0.3">
      <c r="A84" s="2"/>
      <c r="B84" s="35"/>
      <c r="C84" s="4"/>
    </row>
    <row r="88" spans="1:3" x14ac:dyDescent="0.25">
      <c r="A88" s="35" t="s">
        <v>60</v>
      </c>
      <c r="B88" s="35">
        <f>SUM(C89:C102)</f>
        <v>0</v>
      </c>
      <c r="C88" s="35"/>
    </row>
    <row r="89" spans="1:3" x14ac:dyDescent="0.25">
      <c r="A89" s="2"/>
      <c r="B89" s="35"/>
      <c r="C89" s="2"/>
    </row>
    <row r="91" spans="1:3" s="21" customFormat="1" x14ac:dyDescent="0.25">
      <c r="A91" s="2"/>
      <c r="B91" s="35"/>
      <c r="C91" s="35"/>
    </row>
    <row r="92" spans="1:3" s="14" customFormat="1" x14ac:dyDescent="0.25">
      <c r="A92" s="35"/>
      <c r="B92" s="2"/>
      <c r="C92" s="35"/>
    </row>
    <row r="93" spans="1:3" s="14" customFormat="1" x14ac:dyDescent="0.25">
      <c r="A93" s="35"/>
      <c r="B93" s="2"/>
      <c r="C93" s="35"/>
    </row>
  </sheetData>
  <sortState ref="A51:C64">
    <sortCondition sortBy="cellColor" ref="B52"/>
  </sortState>
  <mergeCells count="1">
    <mergeCell ref="A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E14" sqref="E14"/>
    </sheetView>
  </sheetViews>
  <sheetFormatPr defaultRowHeight="12.5" x14ac:dyDescent="0.25"/>
  <cols>
    <col min="2" max="3" width="14" style="35" customWidth="1"/>
    <col min="4" max="4" width="14.90625" bestFit="1" customWidth="1"/>
  </cols>
  <sheetData>
    <row r="1" spans="1:6" s="35" customFormat="1" ht="13" x14ac:dyDescent="0.3">
      <c r="A1" s="79" t="s">
        <v>71</v>
      </c>
      <c r="B1" s="79"/>
      <c r="C1" s="79"/>
      <c r="D1" s="79"/>
      <c r="E1" s="79"/>
      <c r="F1" s="35">
        <f>SUM(E5:E6)</f>
        <v>412500</v>
      </c>
    </row>
    <row r="2" spans="1:6" s="35" customFormat="1" ht="13" x14ac:dyDescent="0.3">
      <c r="A2" s="79" t="s">
        <v>72</v>
      </c>
      <c r="B2" s="79"/>
      <c r="C2" s="79"/>
      <c r="D2" s="79"/>
      <c r="E2" s="79"/>
      <c r="F2" s="35">
        <f>F1-(SUM(D5:D6)+SUM(B10:B199))</f>
        <v>-46400</v>
      </c>
    </row>
    <row r="3" spans="1:6" s="35" customFormat="1" ht="13" x14ac:dyDescent="0.3">
      <c r="A3" s="79" t="s">
        <v>73</v>
      </c>
      <c r="B3" s="79"/>
      <c r="C3" s="79"/>
      <c r="D3" s="79"/>
      <c r="E3" s="79"/>
    </row>
    <row r="4" spans="1:6" ht="13" x14ac:dyDescent="0.3">
      <c r="A4" s="4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35"/>
    </row>
    <row r="5" spans="1:6" x14ac:dyDescent="0.25">
      <c r="A5" s="35">
        <v>46</v>
      </c>
      <c r="B5" s="35">
        <v>1375</v>
      </c>
      <c r="C5" s="35">
        <v>150</v>
      </c>
      <c r="D5" s="35">
        <f>(E5/100)*40</f>
        <v>82500</v>
      </c>
      <c r="E5" s="35">
        <f>B5*C5</f>
        <v>206250</v>
      </c>
      <c r="F5" s="35"/>
    </row>
    <row r="6" spans="1:6" x14ac:dyDescent="0.25">
      <c r="A6" s="35">
        <v>45</v>
      </c>
      <c r="B6" s="35">
        <v>1375</v>
      </c>
      <c r="C6" s="35">
        <v>150</v>
      </c>
      <c r="D6" s="35">
        <f>(E6/100)*40</f>
        <v>82500</v>
      </c>
      <c r="E6" s="35">
        <f>B6*C6</f>
        <v>206250</v>
      </c>
      <c r="F6" s="35"/>
    </row>
    <row r="8" spans="1:6" ht="13" x14ac:dyDescent="0.3">
      <c r="A8" s="79" t="s">
        <v>79</v>
      </c>
      <c r="B8" s="79"/>
      <c r="C8" s="79"/>
      <c r="D8" s="79"/>
      <c r="E8" s="79"/>
      <c r="F8" s="35"/>
    </row>
    <row r="9" spans="1:6" ht="13" x14ac:dyDescent="0.3">
      <c r="A9" s="4" t="s">
        <v>80</v>
      </c>
      <c r="B9" s="4" t="s">
        <v>81</v>
      </c>
      <c r="C9" s="4" t="s">
        <v>82</v>
      </c>
      <c r="D9" s="35"/>
      <c r="E9" s="35"/>
      <c r="F9" s="35"/>
    </row>
    <row r="10" spans="1:6" x14ac:dyDescent="0.25">
      <c r="A10" s="13">
        <v>41821</v>
      </c>
      <c r="B10" s="35">
        <v>5900</v>
      </c>
      <c r="C10" s="2" t="s">
        <v>12</v>
      </c>
      <c r="D10" s="35"/>
      <c r="E10" s="35"/>
      <c r="F10" s="35"/>
    </row>
    <row r="11" spans="1:6" x14ac:dyDescent="0.25">
      <c r="A11" s="13">
        <v>41852</v>
      </c>
      <c r="B11" s="35">
        <v>6000</v>
      </c>
      <c r="C11" s="2" t="s">
        <v>12</v>
      </c>
      <c r="D11" s="35"/>
      <c r="E11" s="35"/>
      <c r="F11" s="35"/>
    </row>
    <row r="12" spans="1:6" x14ac:dyDescent="0.25">
      <c r="A12" s="13">
        <v>41883</v>
      </c>
      <c r="B12" s="35">
        <v>6000</v>
      </c>
      <c r="C12" s="2" t="s">
        <v>12</v>
      </c>
      <c r="D12" s="35"/>
      <c r="E12" s="35"/>
      <c r="F12" s="35"/>
    </row>
    <row r="13" spans="1:6" x14ac:dyDescent="0.25">
      <c r="A13" s="13">
        <v>41914</v>
      </c>
      <c r="B13" s="35">
        <v>6000</v>
      </c>
      <c r="C13" s="2" t="s">
        <v>12</v>
      </c>
      <c r="D13" s="35"/>
      <c r="E13" s="35"/>
      <c r="F13" s="35"/>
    </row>
    <row r="14" spans="1:6" x14ac:dyDescent="0.25">
      <c r="A14" s="13">
        <v>41944</v>
      </c>
      <c r="B14" s="35">
        <v>6000</v>
      </c>
      <c r="C14" s="2" t="s">
        <v>12</v>
      </c>
      <c r="D14" s="35"/>
      <c r="E14" s="35"/>
      <c r="F14" s="35"/>
    </row>
    <row r="15" spans="1:6" x14ac:dyDescent="0.25">
      <c r="A15" s="13">
        <v>41974</v>
      </c>
      <c r="B15" s="35">
        <v>6000</v>
      </c>
      <c r="C15" s="2" t="s">
        <v>12</v>
      </c>
      <c r="D15" s="35"/>
      <c r="E15" s="35"/>
      <c r="F15" s="35"/>
    </row>
    <row r="16" spans="1:6" x14ac:dyDescent="0.25">
      <c r="A16" s="13">
        <v>42005</v>
      </c>
      <c r="B16" s="35">
        <v>6000</v>
      </c>
      <c r="C16" s="2" t="s">
        <v>12</v>
      </c>
      <c r="D16" s="35"/>
      <c r="E16" s="35"/>
      <c r="F16" s="35"/>
    </row>
    <row r="17" spans="1:3" x14ac:dyDescent="0.25">
      <c r="A17" s="13">
        <v>42036</v>
      </c>
      <c r="B17" s="35">
        <v>6000</v>
      </c>
      <c r="C17" s="2" t="s">
        <v>12</v>
      </c>
    </row>
    <row r="18" spans="1:3" x14ac:dyDescent="0.25">
      <c r="A18" s="13">
        <v>42064</v>
      </c>
      <c r="B18" s="35">
        <v>6000</v>
      </c>
      <c r="C18" s="2" t="s">
        <v>12</v>
      </c>
    </row>
    <row r="19" spans="1:3" x14ac:dyDescent="0.25">
      <c r="A19" s="13">
        <v>42095</v>
      </c>
      <c r="B19" s="35">
        <v>6000</v>
      </c>
      <c r="C19" s="2" t="s">
        <v>12</v>
      </c>
    </row>
    <row r="20" spans="1:3" x14ac:dyDescent="0.25">
      <c r="A20" s="13">
        <v>42125</v>
      </c>
      <c r="B20" s="35">
        <v>6000</v>
      </c>
      <c r="C20" s="2" t="s">
        <v>12</v>
      </c>
    </row>
    <row r="21" spans="1:3" x14ac:dyDescent="0.25">
      <c r="A21" s="13">
        <v>42156</v>
      </c>
      <c r="B21" s="35">
        <v>6000</v>
      </c>
      <c r="C21" s="2" t="s">
        <v>12</v>
      </c>
    </row>
    <row r="22" spans="1:3" x14ac:dyDescent="0.25">
      <c r="A22" s="13">
        <v>42186</v>
      </c>
      <c r="B22" s="35">
        <v>6000</v>
      </c>
      <c r="C22" s="2" t="s">
        <v>12</v>
      </c>
    </row>
    <row r="23" spans="1:3" x14ac:dyDescent="0.25">
      <c r="A23" s="13">
        <v>42217</v>
      </c>
      <c r="B23" s="35">
        <v>6000</v>
      </c>
      <c r="C23" s="2" t="s">
        <v>12</v>
      </c>
    </row>
    <row r="24" spans="1:3" x14ac:dyDescent="0.25">
      <c r="A24" s="13">
        <v>42248</v>
      </c>
      <c r="B24" s="35">
        <f>6000+60000</f>
        <v>66000</v>
      </c>
      <c r="C24" s="2" t="s">
        <v>12</v>
      </c>
    </row>
    <row r="25" spans="1:3" x14ac:dyDescent="0.25">
      <c r="A25" s="13">
        <v>42278</v>
      </c>
      <c r="B25" s="35">
        <v>6000</v>
      </c>
      <c r="C25" s="2" t="s">
        <v>12</v>
      </c>
    </row>
    <row r="26" spans="1:3" x14ac:dyDescent="0.25">
      <c r="A26" s="13">
        <v>42309</v>
      </c>
      <c r="B26" s="35">
        <v>6000</v>
      </c>
      <c r="C26" s="2" t="s">
        <v>12</v>
      </c>
    </row>
    <row r="27" spans="1:3" x14ac:dyDescent="0.25">
      <c r="A27" s="13">
        <v>42339</v>
      </c>
      <c r="B27" s="35">
        <v>6000</v>
      </c>
      <c r="C27" s="2" t="s">
        <v>12</v>
      </c>
    </row>
    <row r="28" spans="1:3" x14ac:dyDescent="0.25">
      <c r="A28" s="13">
        <v>42370</v>
      </c>
      <c r="B28" s="35">
        <v>6000</v>
      </c>
      <c r="C28" s="2" t="s">
        <v>12</v>
      </c>
    </row>
    <row r="29" spans="1:3" x14ac:dyDescent="0.25">
      <c r="A29" s="13">
        <v>42401</v>
      </c>
      <c r="B29" s="35">
        <v>6000</v>
      </c>
      <c r="C29" s="2" t="s">
        <v>12</v>
      </c>
    </row>
    <row r="30" spans="1:3" x14ac:dyDescent="0.25">
      <c r="A30" s="13">
        <v>42430</v>
      </c>
      <c r="B30" s="35">
        <v>6000</v>
      </c>
      <c r="C30" s="2" t="s">
        <v>12</v>
      </c>
    </row>
    <row r="31" spans="1:3" x14ac:dyDescent="0.25">
      <c r="A31" s="13">
        <v>42461</v>
      </c>
      <c r="B31" s="35">
        <v>6000</v>
      </c>
      <c r="C31" s="2" t="s">
        <v>12</v>
      </c>
    </row>
    <row r="32" spans="1:3" x14ac:dyDescent="0.25">
      <c r="A32" s="13">
        <v>42491</v>
      </c>
      <c r="B32" s="35">
        <v>6000</v>
      </c>
      <c r="C32" s="2" t="s">
        <v>12</v>
      </c>
    </row>
    <row r="33" spans="1:3" x14ac:dyDescent="0.25">
      <c r="A33" s="13">
        <v>42522</v>
      </c>
      <c r="B33" s="35">
        <v>6000</v>
      </c>
      <c r="C33" s="2" t="s">
        <v>12</v>
      </c>
    </row>
    <row r="34" spans="1:3" x14ac:dyDescent="0.25">
      <c r="A34" s="13">
        <v>42552</v>
      </c>
      <c r="B34" s="35">
        <v>6000</v>
      </c>
      <c r="C34" s="2" t="s">
        <v>12</v>
      </c>
    </row>
    <row r="35" spans="1:3" x14ac:dyDescent="0.25">
      <c r="A35" s="13">
        <v>42583</v>
      </c>
      <c r="B35" s="35">
        <v>6000</v>
      </c>
      <c r="C35" s="2" t="s">
        <v>12</v>
      </c>
    </row>
    <row r="36" spans="1:3" x14ac:dyDescent="0.25">
      <c r="A36" s="13">
        <v>42614</v>
      </c>
      <c r="B36" s="35">
        <v>6000</v>
      </c>
      <c r="C36" s="2" t="s">
        <v>12</v>
      </c>
    </row>
    <row r="37" spans="1:3" x14ac:dyDescent="0.25">
      <c r="A37" s="13">
        <v>42644</v>
      </c>
      <c r="B37" s="35">
        <v>6000</v>
      </c>
      <c r="C37" s="2" t="s">
        <v>12</v>
      </c>
    </row>
    <row r="38" spans="1:3" x14ac:dyDescent="0.25">
      <c r="A38" s="13">
        <v>42675</v>
      </c>
      <c r="B38" s="35">
        <v>6000</v>
      </c>
      <c r="C38" s="2" t="s">
        <v>12</v>
      </c>
    </row>
    <row r="39" spans="1:3" x14ac:dyDescent="0.25">
      <c r="A39" s="13">
        <v>42705</v>
      </c>
      <c r="B39" s="35">
        <v>6000</v>
      </c>
      <c r="C39" s="2" t="s">
        <v>12</v>
      </c>
    </row>
    <row r="40" spans="1:3" x14ac:dyDescent="0.25">
      <c r="A40" s="13">
        <v>42736</v>
      </c>
      <c r="B40" s="35">
        <v>6000</v>
      </c>
      <c r="C40" s="2" t="s">
        <v>12</v>
      </c>
    </row>
    <row r="41" spans="1:3" x14ac:dyDescent="0.25">
      <c r="A41" s="13">
        <v>42767</v>
      </c>
      <c r="B41" s="35">
        <v>6000</v>
      </c>
      <c r="C41" s="2" t="s">
        <v>12</v>
      </c>
    </row>
    <row r="42" spans="1:3" x14ac:dyDescent="0.25">
      <c r="A42" s="13">
        <v>42795</v>
      </c>
      <c r="B42" s="35">
        <v>6000</v>
      </c>
      <c r="C42" s="2" t="s">
        <v>12</v>
      </c>
    </row>
    <row r="43" spans="1:3" x14ac:dyDescent="0.25">
      <c r="A43" s="13">
        <v>42826</v>
      </c>
      <c r="B43" s="35">
        <v>6000</v>
      </c>
      <c r="C43" s="2" t="s">
        <v>12</v>
      </c>
    </row>
    <row r="44" spans="1:3" x14ac:dyDescent="0.25">
      <c r="A44" s="13">
        <v>42856</v>
      </c>
      <c r="B44" s="35">
        <v>6000</v>
      </c>
      <c r="C44" s="2" t="s">
        <v>12</v>
      </c>
    </row>
    <row r="45" spans="1:3" x14ac:dyDescent="0.25">
      <c r="A45" s="13">
        <v>42887</v>
      </c>
      <c r="B45" s="35">
        <v>6000</v>
      </c>
      <c r="C45" s="2" t="s">
        <v>12</v>
      </c>
    </row>
    <row r="46" spans="1:3" x14ac:dyDescent="0.25">
      <c r="A46" s="13">
        <v>42917</v>
      </c>
      <c r="B46" s="35">
        <v>6000</v>
      </c>
      <c r="C46" s="2" t="s">
        <v>12</v>
      </c>
    </row>
    <row r="47" spans="1:3" x14ac:dyDescent="0.25">
      <c r="A47" s="13">
        <v>42948</v>
      </c>
      <c r="B47" s="35">
        <v>6000</v>
      </c>
      <c r="C47" s="2" t="s">
        <v>12</v>
      </c>
    </row>
    <row r="48" spans="1:3" x14ac:dyDescent="0.25">
      <c r="A48" s="13">
        <v>42979</v>
      </c>
      <c r="B48" s="35">
        <v>6000</v>
      </c>
      <c r="C48" s="2" t="s">
        <v>12</v>
      </c>
    </row>
    <row r="49" spans="1:1" x14ac:dyDescent="0.25">
      <c r="A49" s="13">
        <v>43009</v>
      </c>
    </row>
    <row r="50" spans="1:1" x14ac:dyDescent="0.25">
      <c r="A50" s="13">
        <v>43040</v>
      </c>
    </row>
    <row r="51" spans="1:1" x14ac:dyDescent="0.25">
      <c r="A51" s="13">
        <v>43070</v>
      </c>
    </row>
    <row r="52" spans="1:1" x14ac:dyDescent="0.25">
      <c r="A52" s="13">
        <v>43101</v>
      </c>
    </row>
    <row r="53" spans="1:1" x14ac:dyDescent="0.25">
      <c r="A53" s="13">
        <v>43132</v>
      </c>
    </row>
    <row r="54" spans="1:1" x14ac:dyDescent="0.25">
      <c r="A54" s="13">
        <v>43160</v>
      </c>
    </row>
    <row r="55" spans="1:1" x14ac:dyDescent="0.25">
      <c r="A55" s="13">
        <v>43191</v>
      </c>
    </row>
    <row r="56" spans="1:1" x14ac:dyDescent="0.25">
      <c r="A56" s="13">
        <v>43221</v>
      </c>
    </row>
    <row r="57" spans="1:1" x14ac:dyDescent="0.25">
      <c r="A57" s="13">
        <v>43252</v>
      </c>
    </row>
    <row r="58" spans="1:1" x14ac:dyDescent="0.25">
      <c r="A58" s="13">
        <v>43282</v>
      </c>
    </row>
  </sheetData>
  <mergeCells count="4">
    <mergeCell ref="A1:E1"/>
    <mergeCell ref="A2:E2"/>
    <mergeCell ref="A3:E3"/>
    <mergeCell ref="A8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B19" workbookViewId="0">
      <selection activeCell="G43" sqref="G43"/>
    </sheetView>
  </sheetViews>
  <sheetFormatPr defaultRowHeight="12.5" x14ac:dyDescent="0.25"/>
  <cols>
    <col min="1" max="1" width="29.08984375" bestFit="1" customWidth="1"/>
    <col min="2" max="2" width="16.08984375" bestFit="1" customWidth="1"/>
    <col min="3" max="3" width="16.36328125" customWidth="1"/>
    <col min="5" max="5" width="19" bestFit="1" customWidth="1"/>
    <col min="6" max="6" width="33.08984375" customWidth="1"/>
    <col min="7" max="7" width="26.6328125" style="35" customWidth="1"/>
    <col min="8" max="8" width="16.08984375" style="35" bestFit="1" customWidth="1"/>
    <col min="9" max="10" width="16.36328125" style="35" customWidth="1"/>
    <col min="11" max="11" width="9" style="35"/>
    <col min="12" max="12" width="19" style="35" bestFit="1" customWidth="1"/>
  </cols>
  <sheetData>
    <row r="1" spans="1:12" x14ac:dyDescent="0.25">
      <c r="A1" s="35"/>
      <c r="B1" s="35"/>
      <c r="C1" s="35"/>
      <c r="D1" s="35"/>
      <c r="E1" s="35"/>
      <c r="F1" s="35"/>
    </row>
    <row r="2" spans="1:12" s="35" customFormat="1" ht="13" x14ac:dyDescent="0.3">
      <c r="A2" s="4" t="s">
        <v>83</v>
      </c>
      <c r="C2" s="4">
        <v>670000</v>
      </c>
    </row>
    <row r="3" spans="1:12" s="35" customFormat="1" ht="13" x14ac:dyDescent="0.3">
      <c r="A3" s="4" t="s">
        <v>84</v>
      </c>
      <c r="C3" s="4">
        <v>86000</v>
      </c>
    </row>
    <row r="4" spans="1:12" s="35" customFormat="1" ht="13" x14ac:dyDescent="0.3">
      <c r="A4" s="4" t="s">
        <v>85</v>
      </c>
      <c r="C4" s="4">
        <v>506000</v>
      </c>
    </row>
    <row r="5" spans="1:12" s="35" customFormat="1" ht="13" x14ac:dyDescent="0.3">
      <c r="A5" s="4" t="s">
        <v>86</v>
      </c>
      <c r="C5" s="4">
        <f>C2-(C3+C4)</f>
        <v>78000</v>
      </c>
    </row>
    <row r="6" spans="1:12" s="35" customFormat="1" ht="13" x14ac:dyDescent="0.3">
      <c r="A6" s="4"/>
      <c r="C6" s="4"/>
    </row>
    <row r="7" spans="1:12" s="35" customFormat="1" ht="13" x14ac:dyDescent="0.3">
      <c r="A7" s="4" t="s">
        <v>87</v>
      </c>
      <c r="B7" s="35">
        <v>760094</v>
      </c>
      <c r="C7" s="4">
        <f>B7-(B14+H14+C2)</f>
        <v>15843.849999999977</v>
      </c>
    </row>
    <row r="8" spans="1:12" s="35" customFormat="1" ht="13" x14ac:dyDescent="0.3">
      <c r="A8" s="4" t="s">
        <v>88</v>
      </c>
      <c r="B8" s="35">
        <v>810800</v>
      </c>
      <c r="C8" s="4">
        <f>B8-(B14+H14+C2)</f>
        <v>66549.849999999977</v>
      </c>
    </row>
    <row r="9" spans="1:12" s="35" customFormat="1" ht="13" x14ac:dyDescent="0.3">
      <c r="A9" s="4"/>
      <c r="B9" s="51"/>
      <c r="C9" s="4"/>
    </row>
    <row r="10" spans="1:12" s="35" customFormat="1" ht="13" x14ac:dyDescent="0.3">
      <c r="A10" s="4"/>
      <c r="B10" s="51"/>
      <c r="C10" s="4"/>
    </row>
    <row r="11" spans="1:12" ht="14.5" x14ac:dyDescent="0.35">
      <c r="A11" s="80" t="s">
        <v>89</v>
      </c>
      <c r="B11" s="81"/>
      <c r="C11" s="81"/>
      <c r="D11" s="81"/>
      <c r="E11" s="35"/>
      <c r="F11" s="35"/>
      <c r="G11" s="80" t="s">
        <v>90</v>
      </c>
      <c r="H11" s="81"/>
      <c r="I11" s="81"/>
      <c r="J11" s="81"/>
      <c r="K11" s="81"/>
    </row>
    <row r="12" spans="1:12" s="35" customFormat="1" ht="14.5" x14ac:dyDescent="0.35">
      <c r="A12" s="45" t="s">
        <v>91</v>
      </c>
      <c r="B12" s="34">
        <f>86000-B13</f>
        <v>78152.89</v>
      </c>
      <c r="C12" s="60"/>
      <c r="D12" s="60"/>
      <c r="G12" s="45" t="s">
        <v>91</v>
      </c>
      <c r="H12" s="34">
        <f>506000-H13</f>
        <v>474338.45999999996</v>
      </c>
      <c r="I12" s="60"/>
      <c r="J12" s="60"/>
      <c r="K12" s="60"/>
    </row>
    <row r="13" spans="1:12" ht="14.5" x14ac:dyDescent="0.35">
      <c r="A13" s="4" t="s">
        <v>92</v>
      </c>
      <c r="B13" s="35">
        <f>SUM(B17:B510)</f>
        <v>7847.11</v>
      </c>
      <c r="C13" s="22"/>
      <c r="D13" s="35"/>
      <c r="E13" s="35"/>
      <c r="F13" s="23"/>
      <c r="G13" s="4" t="s">
        <v>92</v>
      </c>
      <c r="H13" s="35">
        <f>SUM(H17:H510)+SUM(L18:L1048576)</f>
        <v>31661.540000000008</v>
      </c>
      <c r="I13" s="22"/>
      <c r="J13" s="22"/>
    </row>
    <row r="14" spans="1:12" ht="14.5" x14ac:dyDescent="0.35">
      <c r="A14" s="4" t="s">
        <v>93</v>
      </c>
      <c r="B14" s="35">
        <f>SUM(C17:C510)</f>
        <v>13717.889999999996</v>
      </c>
      <c r="C14" s="35"/>
      <c r="D14" s="22"/>
      <c r="E14" s="24"/>
      <c r="F14" s="24"/>
      <c r="G14" s="4" t="s">
        <v>93</v>
      </c>
      <c r="H14" s="35">
        <f>SUM(I17:I510)</f>
        <v>60532.259999999995</v>
      </c>
      <c r="K14" s="22"/>
      <c r="L14" s="24"/>
    </row>
    <row r="15" spans="1:12" ht="14.5" x14ac:dyDescent="0.35">
      <c r="A15" s="4" t="s">
        <v>94</v>
      </c>
      <c r="B15" s="35">
        <f>SUM(D17:D510)</f>
        <v>21565</v>
      </c>
      <c r="C15" s="2"/>
      <c r="D15" s="22"/>
      <c r="E15" s="35"/>
      <c r="F15" s="35"/>
      <c r="G15" s="4" t="s">
        <v>94</v>
      </c>
      <c r="H15" s="35">
        <f>SUM(K17:K510)</f>
        <v>120607.98</v>
      </c>
      <c r="I15" s="2"/>
      <c r="J15" s="2"/>
      <c r="K15" s="22"/>
    </row>
    <row r="16" spans="1:12" ht="14.5" x14ac:dyDescent="0.35">
      <c r="A16" s="4" t="s">
        <v>95</v>
      </c>
      <c r="B16" s="4" t="s">
        <v>96</v>
      </c>
      <c r="C16" s="4" t="s">
        <v>97</v>
      </c>
      <c r="D16" s="22" t="s">
        <v>94</v>
      </c>
      <c r="E16" s="4" t="s">
        <v>98</v>
      </c>
      <c r="F16" s="35"/>
      <c r="G16" s="4" t="s">
        <v>95</v>
      </c>
      <c r="H16" s="4" t="s">
        <v>96</v>
      </c>
      <c r="I16" s="4" t="s">
        <v>97</v>
      </c>
      <c r="J16" s="4" t="s">
        <v>99</v>
      </c>
      <c r="K16" s="22" t="s">
        <v>94</v>
      </c>
      <c r="L16" s="4" t="s">
        <v>98</v>
      </c>
    </row>
    <row r="17" spans="1:12" ht="14.5" x14ac:dyDescent="0.35">
      <c r="A17" s="13">
        <v>41905</v>
      </c>
      <c r="B17" s="35">
        <v>226.85</v>
      </c>
      <c r="C17" s="35">
        <v>148.15</v>
      </c>
      <c r="D17" s="56">
        <f>B17+C17</f>
        <v>375</v>
      </c>
      <c r="E17" s="2"/>
      <c r="F17" s="35"/>
      <c r="G17" s="13">
        <v>41913</v>
      </c>
      <c r="H17" s="35">
        <v>729.18</v>
      </c>
      <c r="I17" s="35">
        <v>1686.25</v>
      </c>
      <c r="J17" s="35">
        <v>731.04</v>
      </c>
      <c r="K17" s="56">
        <f>3146.47</f>
        <v>3146.47</v>
      </c>
      <c r="L17" s="2">
        <f t="shared" ref="L17:L24" si="0">K17-(H17+I17+J17)</f>
        <v>0</v>
      </c>
    </row>
    <row r="18" spans="1:12" ht="14.5" x14ac:dyDescent="0.35">
      <c r="A18" s="13">
        <v>41935</v>
      </c>
      <c r="B18" s="35">
        <v>129.9</v>
      </c>
      <c r="C18" s="35">
        <v>370.1</v>
      </c>
      <c r="D18" s="35">
        <v>500</v>
      </c>
      <c r="E18" s="2"/>
      <c r="F18" s="35"/>
      <c r="G18" s="13">
        <v>41944</v>
      </c>
      <c r="H18" s="35">
        <v>731.61</v>
      </c>
      <c r="I18" s="35">
        <v>1683.82</v>
      </c>
      <c r="J18" s="35">
        <f>1462.08-J17</f>
        <v>731.04</v>
      </c>
      <c r="K18" s="56">
        <f>3146.47</f>
        <v>3146.47</v>
      </c>
      <c r="L18" s="2">
        <f t="shared" si="0"/>
        <v>0</v>
      </c>
    </row>
    <row r="19" spans="1:12" ht="14.5" x14ac:dyDescent="0.35">
      <c r="A19" s="13">
        <v>41960</v>
      </c>
      <c r="B19" s="35">
        <f t="shared" ref="B19:B27" si="1">D19-C19</f>
        <v>218.63</v>
      </c>
      <c r="C19" s="35">
        <v>381.37</v>
      </c>
      <c r="D19" s="35">
        <v>600</v>
      </c>
      <c r="E19" s="2"/>
      <c r="F19" s="35"/>
      <c r="G19" s="13">
        <v>41974</v>
      </c>
      <c r="H19" s="35">
        <v>734.05</v>
      </c>
      <c r="I19" s="35">
        <v>1681.38</v>
      </c>
      <c r="J19" s="35">
        <v>731.04</v>
      </c>
      <c r="K19" s="56">
        <v>3200</v>
      </c>
      <c r="L19" s="2">
        <f t="shared" si="0"/>
        <v>53.529999999999745</v>
      </c>
    </row>
    <row r="20" spans="1:12" ht="14.5" x14ac:dyDescent="0.35">
      <c r="A20" s="13">
        <v>41987</v>
      </c>
      <c r="B20" s="35">
        <f t="shared" si="1"/>
        <v>231.58999999999997</v>
      </c>
      <c r="C20" s="35">
        <v>368.41</v>
      </c>
      <c r="D20" s="35">
        <v>600</v>
      </c>
      <c r="E20" s="2"/>
      <c r="F20" s="35"/>
      <c r="G20" s="13">
        <v>42000</v>
      </c>
      <c r="H20" s="35">
        <v>736.68</v>
      </c>
      <c r="I20" s="35">
        <v>1678.75</v>
      </c>
      <c r="J20" s="35">
        <v>731.04</v>
      </c>
      <c r="K20" s="56">
        <v>3200</v>
      </c>
      <c r="L20" s="2">
        <f t="shared" si="0"/>
        <v>53.5300000000002</v>
      </c>
    </row>
    <row r="21" spans="1:12" ht="14.5" x14ac:dyDescent="0.35">
      <c r="A21" s="13">
        <v>42016</v>
      </c>
      <c r="B21" s="35">
        <f t="shared" si="1"/>
        <v>220.29000000000002</v>
      </c>
      <c r="C21" s="35">
        <v>379.71</v>
      </c>
      <c r="D21" s="35">
        <v>600</v>
      </c>
      <c r="E21" s="2"/>
      <c r="F21" s="35"/>
      <c r="G21" s="13">
        <v>42032</v>
      </c>
      <c r="H21" s="35">
        <v>739.31</v>
      </c>
      <c r="I21" s="35">
        <v>1676.12</v>
      </c>
      <c r="J21" s="35">
        <v>731.04</v>
      </c>
      <c r="K21" s="56">
        <v>3200</v>
      </c>
      <c r="L21" s="2">
        <f t="shared" si="0"/>
        <v>53.5300000000002</v>
      </c>
    </row>
    <row r="22" spans="1:12" ht="14.5" x14ac:dyDescent="0.35">
      <c r="A22" s="13">
        <v>42056</v>
      </c>
      <c r="B22" s="35">
        <f t="shared" si="1"/>
        <v>221.39</v>
      </c>
      <c r="C22" s="35">
        <v>378.61</v>
      </c>
      <c r="D22" s="35">
        <v>600</v>
      </c>
      <c r="E22" s="35"/>
      <c r="F22" s="35"/>
      <c r="G22" s="13">
        <v>42060</v>
      </c>
      <c r="H22" s="35">
        <v>741.95</v>
      </c>
      <c r="I22" s="35">
        <v>1673.48</v>
      </c>
      <c r="J22" s="35">
        <v>731.04</v>
      </c>
      <c r="K22" s="56">
        <v>3200</v>
      </c>
      <c r="L22" s="2">
        <f t="shared" si="0"/>
        <v>53.529999999999745</v>
      </c>
    </row>
    <row r="23" spans="1:12" ht="14.5" x14ac:dyDescent="0.35">
      <c r="A23" s="13">
        <v>42091</v>
      </c>
      <c r="B23" s="35">
        <f t="shared" si="1"/>
        <v>258.75</v>
      </c>
      <c r="C23" s="35">
        <v>341.25</v>
      </c>
      <c r="D23" s="35">
        <v>600</v>
      </c>
      <c r="E23" s="35"/>
      <c r="F23" s="35"/>
      <c r="G23" s="49">
        <v>42101</v>
      </c>
      <c r="H23" s="35">
        <v>744.6</v>
      </c>
      <c r="I23" s="35">
        <v>1670.83</v>
      </c>
      <c r="J23" s="35">
        <v>731.04</v>
      </c>
      <c r="K23" s="56">
        <v>3200</v>
      </c>
      <c r="L23" s="2">
        <f t="shared" si="0"/>
        <v>53.5300000000002</v>
      </c>
    </row>
    <row r="24" spans="1:12" ht="14.5" x14ac:dyDescent="0.35">
      <c r="A24" s="13">
        <v>42111</v>
      </c>
      <c r="B24" s="35">
        <f t="shared" si="1"/>
        <v>223.08999999999997</v>
      </c>
      <c r="C24" s="35">
        <v>376.91</v>
      </c>
      <c r="D24" s="35">
        <v>600</v>
      </c>
      <c r="E24" s="35"/>
      <c r="F24" s="35"/>
      <c r="G24" s="49">
        <v>42129</v>
      </c>
      <c r="H24" s="35">
        <v>747.26</v>
      </c>
      <c r="I24" s="35">
        <v>1668.17</v>
      </c>
      <c r="J24" s="35">
        <v>731.04</v>
      </c>
      <c r="K24" s="56">
        <v>3200</v>
      </c>
      <c r="L24" s="2">
        <f t="shared" si="0"/>
        <v>53.529999999999745</v>
      </c>
    </row>
    <row r="25" spans="1:12" ht="14.5" x14ac:dyDescent="0.35">
      <c r="A25" s="13">
        <v>42136</v>
      </c>
      <c r="B25" s="35">
        <f t="shared" si="1"/>
        <v>236.35000000000002</v>
      </c>
      <c r="C25" s="35">
        <v>363.65</v>
      </c>
      <c r="D25" s="35">
        <v>600</v>
      </c>
      <c r="E25" s="35"/>
      <c r="F25" s="2"/>
      <c r="G25" s="43">
        <v>42158</v>
      </c>
      <c r="H25" s="2">
        <v>749.93</v>
      </c>
      <c r="I25" s="2">
        <v>1665.5</v>
      </c>
      <c r="J25" s="2">
        <v>731.04</v>
      </c>
      <c r="K25" s="56">
        <v>3200</v>
      </c>
      <c r="L25" s="2">
        <f t="shared" ref="L25:L30" si="2">K25-(H25+I25+J25)</f>
        <v>53.5300000000002</v>
      </c>
    </row>
    <row r="26" spans="1:12" ht="14.5" x14ac:dyDescent="0.35">
      <c r="A26" s="49">
        <v>42167</v>
      </c>
      <c r="B26" s="35">
        <f t="shared" si="1"/>
        <v>225.31</v>
      </c>
      <c r="C26" s="35">
        <v>374.69</v>
      </c>
      <c r="D26" s="35">
        <v>600</v>
      </c>
      <c r="E26" s="35"/>
      <c r="F26" s="35"/>
      <c r="G26" s="13">
        <v>42186</v>
      </c>
      <c r="H26" s="2">
        <v>752.61</v>
      </c>
      <c r="I26" s="2">
        <v>1662.82</v>
      </c>
      <c r="J26" s="2">
        <v>731.04</v>
      </c>
      <c r="K26" s="56">
        <v>3200</v>
      </c>
      <c r="L26" s="2">
        <f t="shared" si="2"/>
        <v>53.5300000000002</v>
      </c>
    </row>
    <row r="27" spans="1:12" ht="14.5" x14ac:dyDescent="0.35">
      <c r="A27" s="13">
        <v>42215</v>
      </c>
      <c r="B27" s="35">
        <f t="shared" si="1"/>
        <v>238.57</v>
      </c>
      <c r="C27" s="35">
        <v>361.43</v>
      </c>
      <c r="D27" s="35">
        <v>600</v>
      </c>
      <c r="E27" s="35"/>
      <c r="F27" s="35"/>
      <c r="G27" s="13">
        <v>42217</v>
      </c>
      <c r="H27" s="35">
        <v>755.3</v>
      </c>
      <c r="I27" s="35">
        <v>1660.13</v>
      </c>
      <c r="J27" s="35">
        <v>731.04</v>
      </c>
      <c r="K27" s="56">
        <v>3200</v>
      </c>
      <c r="L27" s="2">
        <f t="shared" si="2"/>
        <v>53.529999999999745</v>
      </c>
    </row>
    <row r="28" spans="1:12" ht="14.5" x14ac:dyDescent="0.35">
      <c r="A28" s="49">
        <v>42228</v>
      </c>
      <c r="B28" s="35">
        <f t="shared" ref="B28" si="3">D28-C28</f>
        <v>227.57</v>
      </c>
      <c r="C28" s="35">
        <v>372.43</v>
      </c>
      <c r="D28" s="35">
        <v>600</v>
      </c>
      <c r="E28" s="35"/>
      <c r="F28" s="35"/>
      <c r="G28" s="13">
        <v>42248</v>
      </c>
      <c r="H28" s="35">
        <v>757.99</v>
      </c>
      <c r="I28" s="35">
        <v>1657.44</v>
      </c>
      <c r="J28" s="35">
        <v>731.04</v>
      </c>
      <c r="K28" s="56">
        <v>3200</v>
      </c>
      <c r="L28" s="2">
        <f t="shared" si="2"/>
        <v>53.529999999999745</v>
      </c>
    </row>
    <row r="29" spans="1:12" ht="14.5" x14ac:dyDescent="0.35">
      <c r="A29" s="49">
        <v>42261</v>
      </c>
      <c r="B29" s="35">
        <f t="shared" ref="B29" si="4">D29-C29</f>
        <v>153.57</v>
      </c>
      <c r="C29" s="35">
        <v>446.43</v>
      </c>
      <c r="D29" s="35">
        <v>600</v>
      </c>
      <c r="E29" s="35"/>
      <c r="F29" s="35"/>
      <c r="G29" s="13">
        <v>42278</v>
      </c>
      <c r="H29" s="35">
        <v>760.7</v>
      </c>
      <c r="I29" s="35">
        <v>1654.73</v>
      </c>
      <c r="J29" s="35">
        <v>731.04</v>
      </c>
      <c r="K29" s="56">
        <v>3200</v>
      </c>
      <c r="L29" s="2">
        <f t="shared" si="2"/>
        <v>53.529999999999745</v>
      </c>
    </row>
    <row r="30" spans="1:12" ht="14.5" x14ac:dyDescent="0.35">
      <c r="A30" s="49">
        <v>42294</v>
      </c>
      <c r="B30" s="35">
        <f t="shared" ref="B30:B35" si="5">D30-C30</f>
        <v>241.33999999999997</v>
      </c>
      <c r="C30" s="35">
        <v>358.66</v>
      </c>
      <c r="D30" s="35">
        <v>600</v>
      </c>
      <c r="E30" s="35"/>
      <c r="F30" s="35"/>
      <c r="G30" s="13">
        <v>42309</v>
      </c>
      <c r="H30" s="35">
        <v>763.41</v>
      </c>
      <c r="I30" s="35">
        <v>1652.02</v>
      </c>
      <c r="J30" s="35">
        <v>731.04</v>
      </c>
      <c r="K30" s="56">
        <v>3200</v>
      </c>
      <c r="L30" s="2">
        <f t="shared" si="2"/>
        <v>53.5300000000002</v>
      </c>
    </row>
    <row r="31" spans="1:12" ht="14.5" x14ac:dyDescent="0.35">
      <c r="A31" s="49">
        <v>42325</v>
      </c>
      <c r="B31" s="35">
        <f t="shared" si="5"/>
        <v>230.23000000000002</v>
      </c>
      <c r="C31" s="35">
        <v>369.77</v>
      </c>
      <c r="D31" s="35">
        <v>600</v>
      </c>
      <c r="E31" s="35"/>
      <c r="F31" s="35"/>
      <c r="G31" s="13">
        <v>42353</v>
      </c>
      <c r="H31" s="35">
        <v>766.13</v>
      </c>
      <c r="I31" s="35">
        <v>1649.3</v>
      </c>
      <c r="J31" s="35">
        <v>731.04</v>
      </c>
      <c r="K31" s="56">
        <v>3200</v>
      </c>
      <c r="L31" s="2">
        <f t="shared" ref="L31" si="6">K31-(H31+I31+J31)</f>
        <v>53.5300000000002</v>
      </c>
    </row>
    <row r="32" spans="1:12" ht="14.5" x14ac:dyDescent="0.35">
      <c r="A32" s="49">
        <v>42351</v>
      </c>
      <c r="B32" s="35">
        <f t="shared" si="5"/>
        <v>243.26</v>
      </c>
      <c r="C32" s="35">
        <v>356.74</v>
      </c>
      <c r="D32" s="35">
        <v>600</v>
      </c>
      <c r="E32" s="35"/>
      <c r="F32" s="35"/>
      <c r="G32" s="13">
        <v>42370</v>
      </c>
      <c r="H32" s="35">
        <v>766.13</v>
      </c>
      <c r="I32" s="35">
        <v>1649.3</v>
      </c>
      <c r="J32" s="35">
        <v>731.04</v>
      </c>
      <c r="K32" s="56">
        <v>3200</v>
      </c>
      <c r="L32" s="2">
        <f>K32-(H32+I32+J32)</f>
        <v>53.5300000000002</v>
      </c>
    </row>
    <row r="33" spans="1:12" ht="14.5" x14ac:dyDescent="0.35">
      <c r="A33" s="49">
        <v>42379</v>
      </c>
      <c r="B33" s="35">
        <f t="shared" si="5"/>
        <v>214.31</v>
      </c>
      <c r="C33" s="35">
        <v>385.69</v>
      </c>
      <c r="D33" s="35">
        <v>600</v>
      </c>
      <c r="E33" s="35"/>
      <c r="F33" s="35"/>
      <c r="G33" s="13">
        <v>42423</v>
      </c>
      <c r="H33" s="35">
        <v>771.6</v>
      </c>
      <c r="I33" s="35">
        <v>1643.83</v>
      </c>
      <c r="J33" s="35">
        <v>557.23</v>
      </c>
      <c r="K33" s="56">
        <v>3200</v>
      </c>
      <c r="L33" s="2">
        <f>K33-(H33+I33+J33)</f>
        <v>227.34000000000015</v>
      </c>
    </row>
    <row r="34" spans="1:12" ht="14.5" x14ac:dyDescent="0.35">
      <c r="A34" s="49">
        <v>42418</v>
      </c>
      <c r="B34" s="35">
        <f t="shared" si="5"/>
        <v>217.04000000000002</v>
      </c>
      <c r="C34" s="35">
        <v>382.96</v>
      </c>
      <c r="D34" s="35">
        <v>600</v>
      </c>
      <c r="E34" s="35"/>
      <c r="F34" s="35"/>
      <c r="G34" s="13">
        <v>42437</v>
      </c>
      <c r="H34" s="35">
        <v>774.93</v>
      </c>
      <c r="I34" s="35">
        <v>1640.5</v>
      </c>
      <c r="J34" s="35">
        <v>557.23</v>
      </c>
      <c r="K34" s="56">
        <v>3200</v>
      </c>
      <c r="L34" s="2">
        <f>K34-(H34+I34+J34)</f>
        <v>227.34000000000015</v>
      </c>
    </row>
    <row r="35" spans="1:12" ht="14.5" x14ac:dyDescent="0.35">
      <c r="A35" s="49">
        <v>42447</v>
      </c>
      <c r="B35" s="35">
        <f t="shared" si="5"/>
        <v>242.54000000000002</v>
      </c>
      <c r="C35" s="35">
        <v>357.46</v>
      </c>
      <c r="D35" s="35">
        <v>600</v>
      </c>
      <c r="E35" s="35"/>
      <c r="F35" s="35"/>
      <c r="G35" s="13">
        <v>42462</v>
      </c>
      <c r="H35" s="35">
        <v>778.27</v>
      </c>
      <c r="I35" s="35">
        <v>1637.16</v>
      </c>
      <c r="J35" s="35">
        <v>557.23</v>
      </c>
      <c r="K35" s="56">
        <v>3200</v>
      </c>
      <c r="L35" s="2">
        <f>K35-(H35+I35+J35)</f>
        <v>227.33999999999969</v>
      </c>
    </row>
    <row r="36" spans="1:12" ht="14.5" x14ac:dyDescent="0.35">
      <c r="A36" s="49">
        <v>42476</v>
      </c>
      <c r="B36" s="35">
        <f t="shared" ref="B36" si="7">D36-C36</f>
        <v>218.89999999999998</v>
      </c>
      <c r="C36" s="35">
        <v>381.1</v>
      </c>
      <c r="D36" s="35">
        <v>600</v>
      </c>
      <c r="E36" s="35"/>
      <c r="F36" s="35"/>
      <c r="G36" s="13">
        <v>42521</v>
      </c>
      <c r="H36" s="35">
        <v>784.99</v>
      </c>
      <c r="I36" s="35">
        <v>1630.44</v>
      </c>
      <c r="J36" s="35">
        <v>557.22</v>
      </c>
      <c r="K36" s="56">
        <v>3200</v>
      </c>
      <c r="L36" s="2">
        <f t="shared" ref="L36:L38" si="8">K36-(H36+I36+J36)</f>
        <v>227.34999999999945</v>
      </c>
    </row>
    <row r="37" spans="1:12" ht="14.5" x14ac:dyDescent="0.35">
      <c r="A37" s="49">
        <v>42506</v>
      </c>
      <c r="B37" s="35">
        <f t="shared" ref="B37:B39" si="9">D37-C37</f>
        <v>232.3</v>
      </c>
      <c r="C37" s="35">
        <v>367.7</v>
      </c>
      <c r="D37" s="35">
        <v>600</v>
      </c>
      <c r="E37" s="35"/>
      <c r="F37" s="35"/>
      <c r="G37" s="13">
        <v>42522</v>
      </c>
      <c r="H37" s="35">
        <v>788.36</v>
      </c>
      <c r="I37" s="35">
        <v>1627.07</v>
      </c>
      <c r="J37" s="35">
        <v>557.22</v>
      </c>
      <c r="K37" s="56">
        <v>3200</v>
      </c>
      <c r="L37" s="2">
        <f t="shared" si="8"/>
        <v>227.35000000000036</v>
      </c>
    </row>
    <row r="38" spans="1:12" ht="14.5" x14ac:dyDescent="0.35">
      <c r="A38" s="49">
        <v>42536</v>
      </c>
      <c r="B38" s="35">
        <f t="shared" si="9"/>
        <v>121.18</v>
      </c>
      <c r="C38" s="35">
        <v>378.82</v>
      </c>
      <c r="D38" s="35">
        <v>500</v>
      </c>
      <c r="E38" s="35"/>
      <c r="F38" s="35"/>
      <c r="G38" s="13">
        <v>42562</v>
      </c>
      <c r="H38" s="35">
        <v>788.36</v>
      </c>
      <c r="I38" s="35">
        <v>1627.07</v>
      </c>
      <c r="J38" s="35">
        <v>557.22</v>
      </c>
      <c r="K38" s="56">
        <v>3000</v>
      </c>
      <c r="L38" s="2">
        <f t="shared" si="8"/>
        <v>27.350000000000364</v>
      </c>
    </row>
    <row r="39" spans="1:12" ht="14.5" x14ac:dyDescent="0.35">
      <c r="A39" s="49">
        <v>42574</v>
      </c>
      <c r="B39" s="35">
        <f t="shared" si="9"/>
        <v>234.23000000000002</v>
      </c>
      <c r="C39" s="35">
        <v>365.77</v>
      </c>
      <c r="D39" s="35">
        <v>600</v>
      </c>
      <c r="E39" s="35"/>
      <c r="F39" s="35"/>
      <c r="G39" s="13">
        <v>42593</v>
      </c>
      <c r="H39" s="35">
        <v>788.36</v>
      </c>
      <c r="I39" s="35">
        <v>1627.07</v>
      </c>
      <c r="J39" s="35">
        <v>557.22</v>
      </c>
      <c r="K39" s="56">
        <v>3200</v>
      </c>
      <c r="L39" s="2">
        <f t="shared" ref="L39" si="10">K39-(H39+I39+J39)</f>
        <v>227.35000000000036</v>
      </c>
    </row>
    <row r="40" spans="1:12" ht="14.5" x14ac:dyDescent="0.35">
      <c r="A40" s="49">
        <v>42605</v>
      </c>
      <c r="B40" s="35">
        <f t="shared" ref="B40" si="11">D40-C40</f>
        <v>222.61</v>
      </c>
      <c r="C40" s="35">
        <v>377.39</v>
      </c>
      <c r="D40" s="35">
        <v>600</v>
      </c>
      <c r="E40" s="35"/>
      <c r="F40" s="35"/>
      <c r="G40" s="13">
        <v>42620</v>
      </c>
      <c r="H40" s="35">
        <v>794.47</v>
      </c>
      <c r="I40" s="35">
        <v>1620.96</v>
      </c>
      <c r="J40" s="35">
        <v>557.22</v>
      </c>
      <c r="K40" s="56">
        <v>3200</v>
      </c>
      <c r="L40" s="2">
        <f t="shared" ref="L40" si="12">K40-(H40+I40+J40)</f>
        <v>227.34999999999945</v>
      </c>
    </row>
    <row r="41" spans="1:12" ht="14.5" x14ac:dyDescent="0.35">
      <c r="A41" s="49">
        <v>42636</v>
      </c>
      <c r="B41" s="35">
        <f t="shared" ref="B41" si="13">D41-C41</f>
        <v>148.79000000000002</v>
      </c>
      <c r="C41" s="35">
        <v>451.21</v>
      </c>
      <c r="D41" s="35">
        <v>600</v>
      </c>
      <c r="E41" s="35"/>
      <c r="F41" s="35"/>
      <c r="G41" s="13">
        <v>42647</v>
      </c>
      <c r="H41" s="35">
        <v>794.47</v>
      </c>
      <c r="I41" s="35">
        <v>1620.96</v>
      </c>
      <c r="J41" s="35">
        <v>557.22</v>
      </c>
      <c r="K41" s="56">
        <v>3200</v>
      </c>
      <c r="L41" s="2">
        <f t="shared" ref="L41" si="14">K41-(H41+I41+J41)</f>
        <v>227.34999999999945</v>
      </c>
    </row>
    <row r="42" spans="1:12" ht="14.5" x14ac:dyDescent="0.35">
      <c r="A42" s="49">
        <v>42654</v>
      </c>
      <c r="B42" s="35">
        <f t="shared" ref="B42" si="15">D42-C42</f>
        <v>225.20999999999998</v>
      </c>
      <c r="C42" s="35">
        <v>374.79</v>
      </c>
      <c r="D42" s="35">
        <v>600</v>
      </c>
      <c r="E42" s="35"/>
      <c r="F42" s="35"/>
      <c r="G42" s="13">
        <v>42675</v>
      </c>
      <c r="H42" s="35">
        <v>794.47</v>
      </c>
      <c r="I42" s="35">
        <v>1620.96</v>
      </c>
      <c r="J42" s="35">
        <v>557.22</v>
      </c>
      <c r="K42" s="56">
        <v>3200</v>
      </c>
      <c r="L42" s="2">
        <f t="shared" ref="L42:L43" si="16">K42-(H42+I42+J42)</f>
        <v>227.34999999999945</v>
      </c>
    </row>
    <row r="43" spans="1:12" ht="14.5" x14ac:dyDescent="0.35">
      <c r="A43" s="49">
        <v>42716</v>
      </c>
      <c r="B43" s="35">
        <f t="shared" ref="B43" si="17">D43-C43</f>
        <v>225.20999999999998</v>
      </c>
      <c r="C43" s="35">
        <v>374.79</v>
      </c>
      <c r="D43" s="35">
        <v>600</v>
      </c>
      <c r="E43" s="35"/>
      <c r="F43" s="35"/>
      <c r="G43" s="49">
        <v>42709</v>
      </c>
      <c r="H43" s="35">
        <v>807.4</v>
      </c>
      <c r="I43" s="35">
        <v>1608.03</v>
      </c>
      <c r="J43" s="35">
        <v>1013.21</v>
      </c>
      <c r="K43" s="56">
        <v>3428.64</v>
      </c>
      <c r="L43" s="2">
        <f t="shared" si="16"/>
        <v>0</v>
      </c>
    </row>
    <row r="44" spans="1:12" ht="14.5" x14ac:dyDescent="0.35">
      <c r="A44" s="13">
        <v>42766</v>
      </c>
      <c r="B44" s="35">
        <f>D44-C44</f>
        <v>6.0000000000002274E-2</v>
      </c>
      <c r="C44" s="35">
        <v>389.94</v>
      </c>
      <c r="D44" s="35">
        <v>390</v>
      </c>
      <c r="E44" s="56"/>
      <c r="F44" s="2"/>
      <c r="G44" s="49">
        <v>42744</v>
      </c>
      <c r="H44" s="35">
        <v>810.1</v>
      </c>
      <c r="I44" s="35">
        <v>1605.33</v>
      </c>
      <c r="J44" s="35">
        <v>1013.21</v>
      </c>
      <c r="K44" s="56">
        <v>3428.64</v>
      </c>
      <c r="L44" s="2">
        <f t="shared" ref="L44" si="18">K44-(H44+I44+J44)</f>
        <v>0</v>
      </c>
    </row>
    <row r="45" spans="1:12" ht="14.5" x14ac:dyDescent="0.35">
      <c r="A45" s="13">
        <v>42785</v>
      </c>
      <c r="B45" s="35">
        <f>D45-C45</f>
        <v>209.47000000000003</v>
      </c>
      <c r="C45" s="35">
        <v>390.53</v>
      </c>
      <c r="D45" s="35">
        <v>600</v>
      </c>
      <c r="E45" s="35"/>
      <c r="F45" s="35"/>
      <c r="G45" s="13">
        <v>42776</v>
      </c>
      <c r="H45" s="35">
        <v>810.1</v>
      </c>
      <c r="I45" s="35">
        <v>1605.33</v>
      </c>
      <c r="J45" s="35">
        <v>1013.21</v>
      </c>
      <c r="K45" s="56">
        <v>3428.64</v>
      </c>
      <c r="L45" s="2">
        <f t="shared" ref="L45" si="19">K45-(H45+I45+J45)</f>
        <v>0</v>
      </c>
    </row>
    <row r="46" spans="1:12" ht="14.5" x14ac:dyDescent="0.35">
      <c r="A46" s="13">
        <v>42813</v>
      </c>
      <c r="B46" s="35">
        <f t="shared" ref="B46" si="20">D46-C46</f>
        <v>247.52999999999997</v>
      </c>
      <c r="C46" s="35">
        <v>352.47</v>
      </c>
      <c r="D46" s="35">
        <v>600</v>
      </c>
      <c r="E46" s="35"/>
      <c r="F46" s="35"/>
      <c r="G46" s="13">
        <v>42802</v>
      </c>
      <c r="H46" s="35">
        <v>812.79</v>
      </c>
      <c r="I46" s="35">
        <v>1602.64</v>
      </c>
      <c r="J46" s="35">
        <v>1013.21</v>
      </c>
      <c r="K46" s="56">
        <v>3428.64</v>
      </c>
      <c r="L46" s="2">
        <f t="shared" ref="L46" si="21">K46-(H46+I46+J46)</f>
        <v>0</v>
      </c>
    </row>
    <row r="47" spans="1:12" ht="14.5" x14ac:dyDescent="0.35">
      <c r="A47" s="13">
        <v>42813</v>
      </c>
      <c r="B47" s="35">
        <f t="shared" ref="B47" si="22">D47-C47</f>
        <v>247.52999999999997</v>
      </c>
      <c r="C47" s="35">
        <v>352.47</v>
      </c>
      <c r="D47" s="35">
        <v>600</v>
      </c>
      <c r="E47" s="35"/>
      <c r="F47" s="35"/>
      <c r="G47" s="13">
        <v>42826</v>
      </c>
      <c r="H47" s="35">
        <v>815.5</v>
      </c>
      <c r="I47" s="35">
        <v>1599.93</v>
      </c>
      <c r="J47" s="35">
        <v>1013.21</v>
      </c>
      <c r="K47" s="56">
        <v>3428.64</v>
      </c>
      <c r="L47" s="2">
        <f t="shared" ref="L47:L52" si="23">K47-(H47+I47+J47)</f>
        <v>0</v>
      </c>
    </row>
    <row r="48" spans="1:12" ht="14.5" x14ac:dyDescent="0.35">
      <c r="A48" s="13">
        <v>42843</v>
      </c>
      <c r="B48" s="35">
        <f t="shared" ref="B48" si="24">D48-C48</f>
        <v>247.52999999999997</v>
      </c>
      <c r="C48" s="35">
        <v>352.47</v>
      </c>
      <c r="D48" s="35">
        <v>600</v>
      </c>
      <c r="E48" s="35"/>
      <c r="F48" s="35"/>
      <c r="G48" s="13">
        <v>42858</v>
      </c>
      <c r="H48" s="35">
        <v>818.22</v>
      </c>
      <c r="I48" s="35">
        <v>1597.21</v>
      </c>
      <c r="J48" s="35">
        <v>1013.21</v>
      </c>
      <c r="K48" s="56">
        <v>3428.64</v>
      </c>
      <c r="L48" s="2">
        <f t="shared" si="23"/>
        <v>0</v>
      </c>
    </row>
    <row r="49" spans="1:12" ht="14.5" x14ac:dyDescent="0.35">
      <c r="A49" s="13">
        <v>42871</v>
      </c>
      <c r="B49" s="35">
        <f t="shared" ref="B49" si="25">D49-C49</f>
        <v>247.52999999999997</v>
      </c>
      <c r="C49" s="35">
        <v>352.47</v>
      </c>
      <c r="D49" s="35">
        <v>600</v>
      </c>
      <c r="E49" s="35"/>
      <c r="F49" s="35"/>
      <c r="G49" s="13">
        <v>42893</v>
      </c>
      <c r="H49" s="35">
        <v>820.95</v>
      </c>
      <c r="I49" s="35">
        <v>1594.48</v>
      </c>
      <c r="J49" s="35">
        <v>1013.21</v>
      </c>
      <c r="K49" s="56">
        <v>3428.64</v>
      </c>
      <c r="L49" s="2">
        <f t="shared" si="23"/>
        <v>0</v>
      </c>
    </row>
    <row r="50" spans="1:12" ht="14.5" x14ac:dyDescent="0.35">
      <c r="A50" s="13">
        <v>42902</v>
      </c>
      <c r="B50" s="35">
        <f t="shared" ref="B50:B51" si="26">D50-C50</f>
        <v>247.52999999999997</v>
      </c>
      <c r="C50" s="35">
        <v>352.47</v>
      </c>
      <c r="D50" s="35">
        <v>600</v>
      </c>
      <c r="G50" s="13">
        <v>42923</v>
      </c>
      <c r="H50" s="35">
        <v>823.68</v>
      </c>
      <c r="I50" s="35">
        <v>1591.75</v>
      </c>
      <c r="J50" s="35">
        <v>1013.21</v>
      </c>
      <c r="K50" s="56">
        <v>3428.64</v>
      </c>
      <c r="L50" s="2">
        <f t="shared" si="23"/>
        <v>0</v>
      </c>
    </row>
    <row r="51" spans="1:12" ht="14.5" x14ac:dyDescent="0.35">
      <c r="A51" s="13">
        <v>42937</v>
      </c>
      <c r="B51" s="35">
        <f t="shared" si="26"/>
        <v>194.12</v>
      </c>
      <c r="C51" s="35">
        <v>405.88</v>
      </c>
      <c r="D51" s="35">
        <v>600</v>
      </c>
      <c r="G51" s="13">
        <v>42954</v>
      </c>
      <c r="H51" s="35">
        <v>826.43</v>
      </c>
      <c r="I51" s="35">
        <v>1589</v>
      </c>
      <c r="J51" s="35">
        <v>1013.21</v>
      </c>
      <c r="K51" s="56">
        <v>3428.64</v>
      </c>
      <c r="L51" s="2">
        <f t="shared" si="23"/>
        <v>0</v>
      </c>
    </row>
    <row r="52" spans="1:12" ht="14.5" x14ac:dyDescent="0.35">
      <c r="A52" s="13">
        <v>42968</v>
      </c>
      <c r="B52" s="35">
        <f t="shared" ref="B52" si="27">D52-C52</f>
        <v>194.12</v>
      </c>
      <c r="C52" s="35">
        <v>405.88</v>
      </c>
      <c r="D52" s="35">
        <v>600</v>
      </c>
      <c r="G52" s="13">
        <v>42989</v>
      </c>
      <c r="H52" s="35">
        <v>829.18</v>
      </c>
      <c r="I52" s="35">
        <v>1586.25</v>
      </c>
      <c r="J52" s="35">
        <v>1013.21</v>
      </c>
      <c r="K52" s="56">
        <v>3428.64</v>
      </c>
      <c r="L52" s="2">
        <f t="shared" si="23"/>
        <v>0</v>
      </c>
    </row>
    <row r="53" spans="1:12" ht="14.5" x14ac:dyDescent="0.35">
      <c r="A53" s="13">
        <v>42995</v>
      </c>
      <c r="B53" s="35">
        <f t="shared" ref="B53" si="28">D53-C53</f>
        <v>182.68</v>
      </c>
      <c r="C53" s="35">
        <v>417.32</v>
      </c>
      <c r="D53" s="35">
        <v>600</v>
      </c>
      <c r="G53" s="13">
        <v>43010</v>
      </c>
      <c r="H53" s="35">
        <v>829.18</v>
      </c>
      <c r="I53" s="35">
        <v>1586.25</v>
      </c>
      <c r="J53" s="35">
        <v>1013.21</v>
      </c>
      <c r="K53" s="56">
        <v>3428.64</v>
      </c>
      <c r="L53" s="2">
        <f t="shared" ref="L53" si="29">K53-(H53+I53+J53)</f>
        <v>0</v>
      </c>
    </row>
    <row r="58" spans="1:12" x14ac:dyDescent="0.25">
      <c r="A58" s="35"/>
      <c r="B58" s="35"/>
      <c r="C58" s="35"/>
      <c r="D58" s="35"/>
      <c r="E58" s="35"/>
      <c r="F58" s="2"/>
    </row>
    <row r="59" spans="1:12" x14ac:dyDescent="0.25">
      <c r="A59" s="35"/>
      <c r="B59" s="35"/>
      <c r="C59" s="35"/>
      <c r="D59" s="35"/>
      <c r="E59" s="35"/>
      <c r="F59" s="2"/>
    </row>
    <row r="60" spans="1:12" x14ac:dyDescent="0.25">
      <c r="A60" s="35"/>
      <c r="B60" s="35"/>
      <c r="C60" s="35"/>
      <c r="D60" s="35"/>
      <c r="E60" s="35"/>
      <c r="F60" s="35"/>
    </row>
    <row r="61" spans="1:12" x14ac:dyDescent="0.25">
      <c r="A61" s="35"/>
      <c r="B61" s="35"/>
      <c r="C61" s="35"/>
      <c r="D61" s="35"/>
      <c r="E61" s="35"/>
      <c r="F61" s="35"/>
    </row>
  </sheetData>
  <mergeCells count="2">
    <mergeCell ref="A11:D11"/>
    <mergeCell ref="G11:K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5"/>
  <sheetViews>
    <sheetView workbookViewId="0">
      <selection activeCell="A10" sqref="A10"/>
    </sheetView>
  </sheetViews>
  <sheetFormatPr defaultRowHeight="12.5" x14ac:dyDescent="0.25"/>
  <cols>
    <col min="1" max="1" width="32.90625" bestFit="1" customWidth="1"/>
    <col min="2" max="2" width="12.36328125" bestFit="1" customWidth="1"/>
    <col min="3" max="3" width="22.453125" customWidth="1"/>
    <col min="5" max="5" width="28.54296875" customWidth="1"/>
    <col min="6" max="6" width="34.08984375" customWidth="1"/>
    <col min="7" max="7" width="9.54296875" bestFit="1" customWidth="1"/>
    <col min="8" max="8" width="12.36328125" customWidth="1"/>
  </cols>
  <sheetData>
    <row r="1" spans="1:8" ht="14.5" x14ac:dyDescent="0.35">
      <c r="A1" s="38" t="s">
        <v>100</v>
      </c>
      <c r="B1" s="39"/>
      <c r="C1" s="39"/>
      <c r="D1" s="39"/>
      <c r="E1" s="39"/>
      <c r="F1" s="39"/>
      <c r="G1" s="22" t="s">
        <v>101</v>
      </c>
      <c r="H1" s="35">
        <f>SUM(D5:D3081)</f>
        <v>4385612.41</v>
      </c>
    </row>
    <row r="2" spans="1:8" s="33" customFormat="1" ht="14.5" x14ac:dyDescent="0.35">
      <c r="A2" s="39"/>
      <c r="B2" s="39"/>
      <c r="C2" s="35"/>
      <c r="D2" s="35"/>
      <c r="E2" s="35"/>
      <c r="F2" s="35"/>
      <c r="G2" s="22" t="s">
        <v>102</v>
      </c>
      <c r="H2" s="35">
        <f>SUM(E5:E3081)</f>
        <v>83677.34</v>
      </c>
    </row>
    <row r="3" spans="1:8" s="35" customFormat="1" ht="14.5" x14ac:dyDescent="0.35">
      <c r="A3" s="40" t="s">
        <v>103</v>
      </c>
      <c r="B3" s="4"/>
      <c r="C3" s="39"/>
      <c r="D3" s="39"/>
      <c r="E3" s="40"/>
      <c r="G3" s="22"/>
    </row>
    <row r="4" spans="1:8" ht="14.5" x14ac:dyDescent="0.35">
      <c r="A4" s="22" t="s">
        <v>104</v>
      </c>
      <c r="B4" s="22" t="s">
        <v>105</v>
      </c>
      <c r="C4" s="22" t="s">
        <v>80</v>
      </c>
      <c r="D4" s="22" t="s">
        <v>106</v>
      </c>
      <c r="E4" s="22" t="s">
        <v>107</v>
      </c>
      <c r="F4" s="22" t="s">
        <v>108</v>
      </c>
      <c r="G4" s="35"/>
      <c r="H4" s="35"/>
    </row>
    <row r="5" spans="1:8" s="35" customFormat="1" ht="14.5" x14ac:dyDescent="0.35">
      <c r="A5" s="48"/>
      <c r="B5" s="22"/>
      <c r="C5" s="22"/>
      <c r="D5" s="22"/>
      <c r="E5" s="22"/>
      <c r="F5" s="22"/>
    </row>
    <row r="6" spans="1:8" s="35" customFormat="1" ht="14.5" x14ac:dyDescent="0.35">
      <c r="A6" s="48"/>
      <c r="B6" s="22"/>
      <c r="C6" s="22"/>
      <c r="D6" s="22"/>
      <c r="E6" s="22"/>
      <c r="F6" s="22"/>
    </row>
    <row r="7" spans="1:8" s="35" customFormat="1" ht="14.5" x14ac:dyDescent="0.35">
      <c r="A7" s="77" t="s">
        <v>399</v>
      </c>
      <c r="B7" s="56" t="s">
        <v>110</v>
      </c>
      <c r="C7" s="57">
        <v>43008</v>
      </c>
      <c r="D7" s="56">
        <v>32251.84</v>
      </c>
      <c r="E7" s="56">
        <v>503</v>
      </c>
      <c r="F7" s="76" t="s">
        <v>400</v>
      </c>
    </row>
    <row r="8" spans="1:8" s="35" customFormat="1" ht="14.5" x14ac:dyDescent="0.35">
      <c r="A8" s="75" t="s">
        <v>305</v>
      </c>
      <c r="B8" s="56" t="s">
        <v>113</v>
      </c>
      <c r="C8" s="57">
        <v>42978</v>
      </c>
      <c r="D8" s="56">
        <v>6090</v>
      </c>
      <c r="E8" s="56">
        <v>97</v>
      </c>
      <c r="F8" s="56" t="s">
        <v>114</v>
      </c>
    </row>
    <row r="9" spans="1:8" s="35" customFormat="1" ht="14.5" x14ac:dyDescent="0.35">
      <c r="A9" s="77" t="s">
        <v>401</v>
      </c>
      <c r="B9" s="56" t="s">
        <v>110</v>
      </c>
      <c r="C9" s="57">
        <v>42972</v>
      </c>
      <c r="D9" s="56">
        <v>120204.64</v>
      </c>
      <c r="E9" s="56">
        <v>1900</v>
      </c>
      <c r="F9" s="71" t="s">
        <v>301</v>
      </c>
    </row>
    <row r="10" spans="1:8" s="35" customFormat="1" ht="14.5" x14ac:dyDescent="0.35">
      <c r="A10" s="69" t="s">
        <v>298</v>
      </c>
      <c r="B10" s="56" t="s">
        <v>110</v>
      </c>
      <c r="C10" s="57">
        <v>42965</v>
      </c>
      <c r="D10" s="56">
        <v>6311</v>
      </c>
      <c r="E10" s="56">
        <v>100</v>
      </c>
      <c r="F10" s="70" t="s">
        <v>299</v>
      </c>
    </row>
    <row r="11" spans="1:8" s="35" customFormat="1" ht="14.5" x14ac:dyDescent="0.35">
      <c r="A11" s="67" t="s">
        <v>291</v>
      </c>
      <c r="B11" s="56" t="s">
        <v>110</v>
      </c>
      <c r="C11" s="57">
        <v>42957</v>
      </c>
      <c r="D11" s="56">
        <v>126236.2</v>
      </c>
      <c r="E11" s="56">
        <v>2000</v>
      </c>
      <c r="F11" s="68" t="s">
        <v>292</v>
      </c>
    </row>
    <row r="12" spans="1:8" s="35" customFormat="1" ht="43.5" x14ac:dyDescent="0.35">
      <c r="A12" s="61" t="s">
        <v>288</v>
      </c>
      <c r="B12" s="56" t="s">
        <v>110</v>
      </c>
      <c r="C12" s="57">
        <v>42937</v>
      </c>
      <c r="D12" s="56">
        <v>31772.71</v>
      </c>
      <c r="E12" s="56">
        <v>500</v>
      </c>
      <c r="F12" s="62" t="s">
        <v>289</v>
      </c>
    </row>
    <row r="13" spans="1:8" s="35" customFormat="1" ht="14.5" x14ac:dyDescent="0.35">
      <c r="A13" s="63" t="s">
        <v>287</v>
      </c>
      <c r="B13" s="56" t="s">
        <v>113</v>
      </c>
      <c r="C13" s="57">
        <v>42937</v>
      </c>
      <c r="D13" s="56">
        <v>6130</v>
      </c>
      <c r="E13" s="56">
        <v>100</v>
      </c>
      <c r="F13" s="56" t="s">
        <v>114</v>
      </c>
    </row>
    <row r="14" spans="1:8" s="35" customFormat="1" ht="14.5" x14ac:dyDescent="0.35">
      <c r="A14" s="55" t="s">
        <v>109</v>
      </c>
      <c r="B14" s="56" t="s">
        <v>110</v>
      </c>
      <c r="C14" s="57">
        <v>42910</v>
      </c>
      <c r="D14" s="56">
        <v>6000</v>
      </c>
      <c r="E14" s="56">
        <v>94.59</v>
      </c>
      <c r="F14" s="56" t="s">
        <v>111</v>
      </c>
    </row>
    <row r="15" spans="1:8" s="35" customFormat="1" ht="14.5" x14ac:dyDescent="0.35">
      <c r="A15" s="54" t="s">
        <v>112</v>
      </c>
      <c r="B15" s="56" t="s">
        <v>113</v>
      </c>
      <c r="C15" s="57">
        <v>42910</v>
      </c>
      <c r="D15" s="56">
        <v>6000</v>
      </c>
      <c r="E15" s="56">
        <v>94.59</v>
      </c>
      <c r="F15" s="56" t="s">
        <v>114</v>
      </c>
    </row>
    <row r="16" spans="1:8" s="35" customFormat="1" ht="14.5" x14ac:dyDescent="0.35">
      <c r="A16" s="54" t="s">
        <v>115</v>
      </c>
      <c r="B16" s="56" t="s">
        <v>110</v>
      </c>
      <c r="C16" s="57">
        <v>42884</v>
      </c>
      <c r="D16" s="56">
        <v>6000</v>
      </c>
      <c r="E16" s="56">
        <v>94.68</v>
      </c>
      <c r="F16" s="56" t="s">
        <v>111</v>
      </c>
    </row>
    <row r="17" spans="1:6" s="35" customFormat="1" ht="14.5" x14ac:dyDescent="0.35">
      <c r="A17" s="54" t="s">
        <v>116</v>
      </c>
      <c r="B17" s="56" t="s">
        <v>113</v>
      </c>
      <c r="C17" s="57">
        <v>42884</v>
      </c>
      <c r="D17" s="56">
        <v>6000</v>
      </c>
      <c r="E17" s="56">
        <v>94.68</v>
      </c>
      <c r="F17" s="56" t="s">
        <v>114</v>
      </c>
    </row>
    <row r="18" spans="1:6" s="35" customFormat="1" ht="14.5" x14ac:dyDescent="0.35">
      <c r="A18" s="54" t="s">
        <v>117</v>
      </c>
      <c r="B18" s="56" t="s">
        <v>110</v>
      </c>
      <c r="C18" s="57">
        <v>42856</v>
      </c>
      <c r="D18" s="56">
        <v>6000</v>
      </c>
      <c r="E18" s="56">
        <v>95.18</v>
      </c>
      <c r="F18" s="56" t="s">
        <v>111</v>
      </c>
    </row>
    <row r="19" spans="1:6" s="35" customFormat="1" ht="14.5" x14ac:dyDescent="0.35">
      <c r="A19" s="54" t="s">
        <v>118</v>
      </c>
      <c r="B19" s="56" t="s">
        <v>113</v>
      </c>
      <c r="C19" s="57">
        <v>42856</v>
      </c>
      <c r="D19" s="56">
        <v>6000</v>
      </c>
      <c r="E19" s="56">
        <v>95.18</v>
      </c>
      <c r="F19" s="56" t="s">
        <v>114</v>
      </c>
    </row>
    <row r="20" spans="1:6" s="35" customFormat="1" ht="14.5" x14ac:dyDescent="0.35">
      <c r="A20" s="54" t="s">
        <v>119</v>
      </c>
      <c r="B20" s="56" t="s">
        <v>110</v>
      </c>
      <c r="C20" s="57">
        <v>42829</v>
      </c>
      <c r="D20" s="56">
        <v>6000</v>
      </c>
      <c r="E20" s="56">
        <v>93.9</v>
      </c>
      <c r="F20" s="56" t="s">
        <v>111</v>
      </c>
    </row>
    <row r="21" spans="1:6" s="35" customFormat="1" ht="14.5" x14ac:dyDescent="0.35">
      <c r="A21" s="54" t="s">
        <v>120</v>
      </c>
      <c r="B21" s="56" t="s">
        <v>113</v>
      </c>
      <c r="C21" s="57">
        <v>42829</v>
      </c>
      <c r="D21" s="56">
        <v>6000</v>
      </c>
      <c r="E21" s="56">
        <v>93.9</v>
      </c>
      <c r="F21" s="56" t="s">
        <v>114</v>
      </c>
    </row>
    <row r="22" spans="1:6" s="35" customFormat="1" ht="14.5" x14ac:dyDescent="0.35">
      <c r="A22" s="54" t="s">
        <v>121</v>
      </c>
      <c r="B22" s="56" t="s">
        <v>110</v>
      </c>
      <c r="C22" s="57">
        <v>42802</v>
      </c>
      <c r="D22" s="56">
        <v>6000</v>
      </c>
      <c r="E22" s="56">
        <v>91.42</v>
      </c>
      <c r="F22" s="56" t="s">
        <v>111</v>
      </c>
    </row>
    <row r="23" spans="1:6" s="35" customFormat="1" ht="14.5" x14ac:dyDescent="0.35">
      <c r="A23" s="54" t="s">
        <v>122</v>
      </c>
      <c r="B23" s="56" t="s">
        <v>113</v>
      </c>
      <c r="C23" s="57">
        <v>42802</v>
      </c>
      <c r="D23" s="56">
        <v>6000</v>
      </c>
      <c r="E23" s="56">
        <v>91.42</v>
      </c>
      <c r="F23" s="56" t="s">
        <v>114</v>
      </c>
    </row>
    <row r="24" spans="1:6" s="35" customFormat="1" ht="14.5" x14ac:dyDescent="0.35">
      <c r="A24" s="55" t="s">
        <v>123</v>
      </c>
      <c r="B24" s="56" t="s">
        <v>110</v>
      </c>
      <c r="C24" s="57">
        <v>42766</v>
      </c>
      <c r="D24" s="56">
        <v>6000</v>
      </c>
      <c r="E24" s="56">
        <v>90.48</v>
      </c>
      <c r="F24" s="56" t="s">
        <v>111</v>
      </c>
    </row>
    <row r="25" spans="1:6" s="35" customFormat="1" ht="14.5" x14ac:dyDescent="0.35">
      <c r="A25" s="54" t="s">
        <v>124</v>
      </c>
      <c r="B25" s="56" t="s">
        <v>113</v>
      </c>
      <c r="C25" s="57">
        <v>42766</v>
      </c>
      <c r="D25" s="56">
        <v>6000</v>
      </c>
      <c r="E25" s="56">
        <v>90.48</v>
      </c>
      <c r="F25" s="56" t="s">
        <v>114</v>
      </c>
    </row>
    <row r="26" spans="1:6" s="35" customFormat="1" ht="14.5" x14ac:dyDescent="0.35">
      <c r="A26" s="54" t="s">
        <v>125</v>
      </c>
      <c r="B26" s="56" t="s">
        <v>110</v>
      </c>
      <c r="C26" s="57">
        <v>42726</v>
      </c>
      <c r="D26" s="56">
        <v>6000</v>
      </c>
      <c r="E26" s="56">
        <v>89.83</v>
      </c>
      <c r="F26" s="56" t="s">
        <v>111</v>
      </c>
    </row>
    <row r="27" spans="1:6" s="35" customFormat="1" ht="14.5" x14ac:dyDescent="0.35">
      <c r="A27" s="54" t="s">
        <v>126</v>
      </c>
      <c r="B27" s="56" t="s">
        <v>113</v>
      </c>
      <c r="C27" s="57">
        <v>42726</v>
      </c>
      <c r="D27" s="56">
        <v>6000</v>
      </c>
      <c r="E27" s="56">
        <v>89.83</v>
      </c>
      <c r="F27" s="56" t="s">
        <v>114</v>
      </c>
    </row>
    <row r="28" spans="1:6" s="35" customFormat="1" ht="14.5" x14ac:dyDescent="0.35">
      <c r="A28" s="54" t="s">
        <v>127</v>
      </c>
      <c r="B28" s="56" t="s">
        <v>110</v>
      </c>
      <c r="C28" s="57">
        <v>42702</v>
      </c>
      <c r="D28" s="56">
        <v>6000</v>
      </c>
      <c r="E28" s="56">
        <v>88.77</v>
      </c>
      <c r="F28" s="56" t="s">
        <v>111</v>
      </c>
    </row>
    <row r="29" spans="1:6" s="35" customFormat="1" ht="14.5" x14ac:dyDescent="0.35">
      <c r="A29" s="54" t="s">
        <v>128</v>
      </c>
      <c r="B29" s="56" t="s">
        <v>113</v>
      </c>
      <c r="C29" s="57">
        <v>42702</v>
      </c>
      <c r="D29" s="56">
        <v>6000</v>
      </c>
      <c r="E29" s="56">
        <v>88.77</v>
      </c>
      <c r="F29" s="56" t="s">
        <v>114</v>
      </c>
    </row>
    <row r="30" spans="1:6" s="35" customFormat="1" ht="14.5" x14ac:dyDescent="0.35">
      <c r="A30" s="54" t="s">
        <v>129</v>
      </c>
      <c r="B30" s="56" t="s">
        <v>110</v>
      </c>
      <c r="C30" s="57">
        <v>42675</v>
      </c>
      <c r="D30" s="56">
        <v>6000</v>
      </c>
      <c r="E30" s="56">
        <v>91.53</v>
      </c>
      <c r="F30" s="56" t="s">
        <v>111</v>
      </c>
    </row>
    <row r="31" spans="1:6" s="35" customFormat="1" ht="14.5" x14ac:dyDescent="0.35">
      <c r="A31" s="54" t="s">
        <v>130</v>
      </c>
      <c r="B31" s="56" t="s">
        <v>113</v>
      </c>
      <c r="C31" s="57">
        <v>42675</v>
      </c>
      <c r="D31" s="56">
        <v>6000</v>
      </c>
      <c r="E31" s="56">
        <v>91.53</v>
      </c>
      <c r="F31" s="56" t="s">
        <v>114</v>
      </c>
    </row>
    <row r="32" spans="1:6" s="35" customFormat="1" ht="14.5" x14ac:dyDescent="0.35">
      <c r="A32" s="54" t="s">
        <v>131</v>
      </c>
      <c r="B32" s="56" t="s">
        <v>110</v>
      </c>
      <c r="C32" s="57">
        <v>42643</v>
      </c>
      <c r="D32" s="56">
        <v>6000</v>
      </c>
      <c r="E32" s="56">
        <v>91.62</v>
      </c>
      <c r="F32" s="56" t="s">
        <v>111</v>
      </c>
    </row>
    <row r="33" spans="1:6" s="35" customFormat="1" ht="14.5" x14ac:dyDescent="0.35">
      <c r="A33" s="54" t="s">
        <v>132</v>
      </c>
      <c r="B33" s="56" t="s">
        <v>113</v>
      </c>
      <c r="C33" s="57">
        <v>42643</v>
      </c>
      <c r="D33" s="56">
        <v>6000</v>
      </c>
      <c r="E33" s="56">
        <v>91.62</v>
      </c>
      <c r="F33" s="56" t="s">
        <v>114</v>
      </c>
    </row>
    <row r="34" spans="1:6" s="35" customFormat="1" ht="14.5" x14ac:dyDescent="0.35">
      <c r="A34" s="54" t="s">
        <v>133</v>
      </c>
      <c r="B34" s="56" t="s">
        <v>110</v>
      </c>
      <c r="C34" s="57">
        <v>42612</v>
      </c>
      <c r="D34" s="56">
        <v>6000</v>
      </c>
      <c r="E34" s="56">
        <v>91.04</v>
      </c>
      <c r="F34" s="56" t="s">
        <v>111</v>
      </c>
    </row>
    <row r="35" spans="1:6" s="35" customFormat="1" ht="14.5" x14ac:dyDescent="0.35">
      <c r="A35" s="54" t="s">
        <v>134</v>
      </c>
      <c r="B35" s="56" t="s">
        <v>113</v>
      </c>
      <c r="C35" s="57">
        <v>42612</v>
      </c>
      <c r="D35" s="56">
        <v>6000</v>
      </c>
      <c r="E35" s="56">
        <v>91.04</v>
      </c>
      <c r="F35" s="56" t="s">
        <v>114</v>
      </c>
    </row>
    <row r="36" spans="1:6" s="35" customFormat="1" ht="14.5" x14ac:dyDescent="0.35">
      <c r="A36" s="54" t="s">
        <v>135</v>
      </c>
      <c r="B36" s="56" t="s">
        <v>110</v>
      </c>
      <c r="C36" s="57">
        <v>42576</v>
      </c>
      <c r="D36" s="56">
        <v>6000</v>
      </c>
      <c r="E36" s="56">
        <v>90.91</v>
      </c>
      <c r="F36" s="56" t="s">
        <v>111</v>
      </c>
    </row>
    <row r="37" spans="1:6" s="35" customFormat="1" ht="14.5" x14ac:dyDescent="0.35">
      <c r="A37" s="54" t="s">
        <v>136</v>
      </c>
      <c r="B37" s="56" t="s">
        <v>113</v>
      </c>
      <c r="C37" s="57">
        <v>42576</v>
      </c>
      <c r="D37" s="56">
        <v>6000</v>
      </c>
      <c r="E37" s="56">
        <v>90.91</v>
      </c>
      <c r="F37" s="56" t="s">
        <v>114</v>
      </c>
    </row>
    <row r="38" spans="1:6" s="35" customFormat="1" ht="14.5" x14ac:dyDescent="0.35">
      <c r="A38" s="54" t="s">
        <v>137</v>
      </c>
      <c r="B38" s="56" t="s">
        <v>110</v>
      </c>
      <c r="C38" s="57">
        <v>42559</v>
      </c>
      <c r="D38" s="56">
        <v>15000</v>
      </c>
      <c r="E38" s="56">
        <v>225.06</v>
      </c>
      <c r="F38" s="56" t="s">
        <v>111</v>
      </c>
    </row>
    <row r="39" spans="1:6" s="35" customFormat="1" ht="14.5" x14ac:dyDescent="0.35">
      <c r="A39" s="54" t="s">
        <v>138</v>
      </c>
      <c r="B39" s="56" t="s">
        <v>110</v>
      </c>
      <c r="C39" s="57">
        <v>42548</v>
      </c>
      <c r="D39" s="56">
        <v>6000</v>
      </c>
      <c r="E39" s="56">
        <v>89.94</v>
      </c>
      <c r="F39" s="56" t="s">
        <v>111</v>
      </c>
    </row>
    <row r="40" spans="1:6" s="35" customFormat="1" ht="14.5" x14ac:dyDescent="0.35">
      <c r="A40" s="54" t="s">
        <v>139</v>
      </c>
      <c r="B40" s="56" t="s">
        <v>113</v>
      </c>
      <c r="C40" s="57">
        <v>42548</v>
      </c>
      <c r="D40" s="56">
        <v>6000</v>
      </c>
      <c r="E40" s="56">
        <v>89.94</v>
      </c>
      <c r="F40" s="56" t="s">
        <v>114</v>
      </c>
    </row>
    <row r="41" spans="1:6" s="35" customFormat="1" ht="14.5" x14ac:dyDescent="0.35">
      <c r="A41" s="54" t="s">
        <v>140</v>
      </c>
      <c r="B41" s="56" t="s">
        <v>110</v>
      </c>
      <c r="C41" s="57">
        <v>42520</v>
      </c>
      <c r="D41" s="56">
        <v>6000</v>
      </c>
      <c r="E41" s="56">
        <v>90.98</v>
      </c>
      <c r="F41" s="56" t="s">
        <v>111</v>
      </c>
    </row>
    <row r="42" spans="1:6" s="35" customFormat="1" ht="14.5" x14ac:dyDescent="0.35">
      <c r="A42" s="54" t="s">
        <v>141</v>
      </c>
      <c r="B42" s="56" t="s">
        <v>113</v>
      </c>
      <c r="C42" s="57">
        <v>42520</v>
      </c>
      <c r="D42" s="56">
        <v>6000</v>
      </c>
      <c r="E42" s="56">
        <v>90.98</v>
      </c>
      <c r="F42" s="56" t="s">
        <v>114</v>
      </c>
    </row>
    <row r="43" spans="1:6" s="35" customFormat="1" ht="14.5" x14ac:dyDescent="0.35">
      <c r="A43" s="54" t="s">
        <v>142</v>
      </c>
      <c r="B43" s="56" t="s">
        <v>110</v>
      </c>
      <c r="C43" s="57">
        <v>42485</v>
      </c>
      <c r="D43" s="56">
        <v>6000</v>
      </c>
      <c r="E43" s="56">
        <v>91.67</v>
      </c>
      <c r="F43" s="56" t="s">
        <v>111</v>
      </c>
    </row>
    <row r="44" spans="1:6" s="35" customFormat="1" ht="14.5" x14ac:dyDescent="0.35">
      <c r="A44" s="54" t="s">
        <v>143</v>
      </c>
      <c r="B44" s="56" t="s">
        <v>113</v>
      </c>
      <c r="C44" s="57">
        <v>42485</v>
      </c>
      <c r="D44" s="56">
        <v>6000</v>
      </c>
      <c r="E44" s="56">
        <v>91.67</v>
      </c>
      <c r="F44" s="56" t="s">
        <v>114</v>
      </c>
    </row>
    <row r="45" spans="1:6" s="35" customFormat="1" ht="14.5" x14ac:dyDescent="0.35">
      <c r="A45" s="54" t="s">
        <v>144</v>
      </c>
      <c r="B45" s="56" t="s">
        <v>110</v>
      </c>
      <c r="C45" s="57">
        <v>42458</v>
      </c>
      <c r="D45" s="56">
        <v>6000</v>
      </c>
      <c r="E45" s="56">
        <v>91.81</v>
      </c>
      <c r="F45" s="56" t="s">
        <v>111</v>
      </c>
    </row>
    <row r="46" spans="1:6" s="35" customFormat="1" ht="14.5" x14ac:dyDescent="0.35">
      <c r="A46" s="54" t="s">
        <v>145</v>
      </c>
      <c r="B46" s="56" t="s">
        <v>113</v>
      </c>
      <c r="C46" s="57">
        <v>42458</v>
      </c>
      <c r="D46" s="56">
        <v>6000</v>
      </c>
      <c r="E46" s="56">
        <v>91.81</v>
      </c>
      <c r="F46" s="56" t="s">
        <v>114</v>
      </c>
    </row>
    <row r="47" spans="1:6" s="35" customFormat="1" ht="14.5" x14ac:dyDescent="0.35">
      <c r="A47" s="54" t="s">
        <v>146</v>
      </c>
      <c r="B47" s="56" t="s">
        <v>110</v>
      </c>
      <c r="C47" s="57">
        <v>42425</v>
      </c>
      <c r="D47" s="56">
        <v>6000</v>
      </c>
      <c r="E47" s="56">
        <v>88.83</v>
      </c>
      <c r="F47" s="56" t="s">
        <v>111</v>
      </c>
    </row>
    <row r="48" spans="1:6" s="35" customFormat="1" ht="14.5" x14ac:dyDescent="0.35">
      <c r="A48" s="54" t="s">
        <v>147</v>
      </c>
      <c r="B48" s="56" t="s">
        <v>113</v>
      </c>
      <c r="C48" s="57">
        <v>42425</v>
      </c>
      <c r="D48" s="56">
        <v>6000</v>
      </c>
      <c r="E48" s="56">
        <v>88.83</v>
      </c>
      <c r="F48" s="56" t="s">
        <v>114</v>
      </c>
    </row>
    <row r="49" spans="1:6" s="35" customFormat="1" ht="14.5" x14ac:dyDescent="0.35">
      <c r="A49" s="54" t="s">
        <v>148</v>
      </c>
      <c r="B49" s="56" t="s">
        <v>110</v>
      </c>
      <c r="C49" s="57">
        <v>42397</v>
      </c>
      <c r="D49" s="56">
        <v>6000</v>
      </c>
      <c r="E49" s="56">
        <v>91.63</v>
      </c>
      <c r="F49" s="56" t="s">
        <v>111</v>
      </c>
    </row>
    <row r="50" spans="1:6" s="35" customFormat="1" ht="14.5" x14ac:dyDescent="0.35">
      <c r="A50" s="54" t="s">
        <v>149</v>
      </c>
      <c r="B50" s="56" t="s">
        <v>113</v>
      </c>
      <c r="C50" s="57">
        <v>42397</v>
      </c>
      <c r="D50" s="56">
        <v>6000</v>
      </c>
      <c r="E50" s="56">
        <v>91.63</v>
      </c>
      <c r="F50" s="56" t="s">
        <v>114</v>
      </c>
    </row>
    <row r="51" spans="1:6" s="35" customFormat="1" ht="14.5" x14ac:dyDescent="0.35">
      <c r="A51" s="54" t="s">
        <v>150</v>
      </c>
      <c r="B51" s="56" t="s">
        <v>113</v>
      </c>
      <c r="C51" s="57">
        <v>42368</v>
      </c>
      <c r="D51" s="56">
        <v>6000</v>
      </c>
      <c r="E51" s="56">
        <v>93.95</v>
      </c>
      <c r="F51" s="56" t="s">
        <v>114</v>
      </c>
    </row>
    <row r="52" spans="1:6" s="35" customFormat="1" ht="14.5" x14ac:dyDescent="0.35">
      <c r="A52" s="54" t="s">
        <v>151</v>
      </c>
      <c r="B52" s="56" t="s">
        <v>113</v>
      </c>
      <c r="C52" s="57">
        <v>42338</v>
      </c>
      <c r="D52" s="56">
        <v>6000</v>
      </c>
      <c r="E52" s="56">
        <v>93.6</v>
      </c>
      <c r="F52" s="56" t="s">
        <v>114</v>
      </c>
    </row>
    <row r="53" spans="1:6" s="35" customFormat="1" ht="14.5" x14ac:dyDescent="0.35">
      <c r="A53" s="54" t="s">
        <v>152</v>
      </c>
      <c r="B53" s="56" t="s">
        <v>113</v>
      </c>
      <c r="C53" s="57">
        <v>42307</v>
      </c>
      <c r="D53" s="56">
        <v>6000</v>
      </c>
      <c r="E53" s="56">
        <v>93.57</v>
      </c>
      <c r="F53" s="56" t="s">
        <v>114</v>
      </c>
    </row>
    <row r="54" spans="1:6" s="35" customFormat="1" ht="14.5" x14ac:dyDescent="0.35">
      <c r="A54" s="54" t="s">
        <v>153</v>
      </c>
      <c r="B54" s="56" t="s">
        <v>113</v>
      </c>
      <c r="C54" s="57">
        <v>42276</v>
      </c>
      <c r="D54" s="56">
        <v>6000</v>
      </c>
      <c r="E54" s="56">
        <v>92.14</v>
      </c>
      <c r="F54" s="56" t="s">
        <v>114</v>
      </c>
    </row>
    <row r="55" spans="1:6" s="35" customFormat="1" ht="14.5" x14ac:dyDescent="0.35">
      <c r="A55" s="54" t="s">
        <v>154</v>
      </c>
      <c r="B55" s="56" t="s">
        <v>113</v>
      </c>
      <c r="C55" s="57">
        <v>42240</v>
      </c>
      <c r="D55" s="56">
        <v>6000</v>
      </c>
      <c r="E55" s="56">
        <v>91.44</v>
      </c>
      <c r="F55" s="56" t="s">
        <v>114</v>
      </c>
    </row>
    <row r="56" spans="1:6" s="35" customFormat="1" ht="14.5" x14ac:dyDescent="0.35">
      <c r="A56" s="54" t="s">
        <v>155</v>
      </c>
      <c r="B56" s="56" t="s">
        <v>113</v>
      </c>
      <c r="C56" s="57">
        <v>42219</v>
      </c>
      <c r="D56" s="56">
        <v>6000</v>
      </c>
      <c r="E56" s="56">
        <v>95.04</v>
      </c>
      <c r="F56" s="56" t="s">
        <v>114</v>
      </c>
    </row>
    <row r="57" spans="1:6" s="35" customFormat="1" ht="14.5" x14ac:dyDescent="0.35">
      <c r="A57" s="54" t="s">
        <v>156</v>
      </c>
      <c r="B57" s="56" t="s">
        <v>113</v>
      </c>
      <c r="C57" s="57">
        <v>42185</v>
      </c>
      <c r="D57" s="56">
        <v>6000</v>
      </c>
      <c r="E57" s="56">
        <v>95.79</v>
      </c>
      <c r="F57" s="56" t="s">
        <v>114</v>
      </c>
    </row>
    <row r="58" spans="1:6" s="35" customFormat="1" ht="14.5" x14ac:dyDescent="0.35">
      <c r="A58" s="42" t="s">
        <v>157</v>
      </c>
      <c r="B58" s="56" t="s">
        <v>113</v>
      </c>
      <c r="C58" s="57">
        <v>42152</v>
      </c>
      <c r="D58" s="56">
        <v>6000</v>
      </c>
      <c r="E58" s="56">
        <v>95.58</v>
      </c>
      <c r="F58" s="56" t="s">
        <v>114</v>
      </c>
    </row>
    <row r="59" spans="1:6" s="35" customFormat="1" ht="14.5" x14ac:dyDescent="0.35">
      <c r="A59" s="42" t="s">
        <v>158</v>
      </c>
      <c r="B59" s="56" t="s">
        <v>113</v>
      </c>
      <c r="C59" s="57">
        <v>42125</v>
      </c>
      <c r="D59" s="56">
        <v>6000</v>
      </c>
      <c r="E59" s="56">
        <v>98.26</v>
      </c>
      <c r="F59" s="56" t="s">
        <v>114</v>
      </c>
    </row>
    <row r="60" spans="1:6" s="35" customFormat="1" ht="14.5" x14ac:dyDescent="0.35">
      <c r="A60" s="42" t="s">
        <v>159</v>
      </c>
      <c r="B60" s="56" t="s">
        <v>113</v>
      </c>
      <c r="C60" s="57">
        <v>42088</v>
      </c>
      <c r="D60" s="56">
        <v>6000</v>
      </c>
      <c r="E60" s="56">
        <v>100.06</v>
      </c>
      <c r="F60" s="56" t="s">
        <v>114</v>
      </c>
    </row>
    <row r="61" spans="1:6" s="35" customFormat="1" ht="14.5" x14ac:dyDescent="0.35">
      <c r="A61" s="54" t="s">
        <v>160</v>
      </c>
      <c r="B61" s="56" t="s">
        <v>110</v>
      </c>
      <c r="C61" s="57">
        <v>42088</v>
      </c>
      <c r="D61" s="56">
        <v>6000</v>
      </c>
      <c r="E61" s="56">
        <v>100.06</v>
      </c>
      <c r="F61" s="56" t="s">
        <v>161</v>
      </c>
    </row>
    <row r="62" spans="1:6" s="35" customFormat="1" ht="14.5" x14ac:dyDescent="0.35">
      <c r="A62" s="54" t="s">
        <v>162</v>
      </c>
      <c r="B62" s="56" t="s">
        <v>110</v>
      </c>
      <c r="C62" s="57">
        <v>42093</v>
      </c>
      <c r="D62" s="56">
        <v>70000</v>
      </c>
      <c r="E62" s="56">
        <v>1135</v>
      </c>
      <c r="F62" s="56" t="s">
        <v>163</v>
      </c>
    </row>
    <row r="63" spans="1:6" s="35" customFormat="1" ht="14.5" x14ac:dyDescent="0.35">
      <c r="A63" s="47" t="s">
        <v>164</v>
      </c>
      <c r="B63" s="56" t="s">
        <v>113</v>
      </c>
      <c r="C63" s="57">
        <v>42058</v>
      </c>
      <c r="D63" s="56">
        <v>6000</v>
      </c>
      <c r="E63" s="56">
        <v>100.22</v>
      </c>
      <c r="F63" s="56" t="s">
        <v>114</v>
      </c>
    </row>
    <row r="64" spans="1:6" s="35" customFormat="1" ht="14.5" x14ac:dyDescent="0.35">
      <c r="A64" s="54" t="s">
        <v>165</v>
      </c>
      <c r="B64" s="56" t="s">
        <v>110</v>
      </c>
      <c r="C64" s="57">
        <v>42058</v>
      </c>
      <c r="D64" s="56">
        <v>6000</v>
      </c>
      <c r="E64" s="56">
        <v>100.22</v>
      </c>
      <c r="F64" s="56" t="s">
        <v>161</v>
      </c>
    </row>
    <row r="65" spans="1:6" s="35" customFormat="1" ht="14.5" x14ac:dyDescent="0.35">
      <c r="A65" s="54" t="s">
        <v>166</v>
      </c>
      <c r="B65" s="56" t="s">
        <v>110</v>
      </c>
      <c r="C65" s="57">
        <v>42030</v>
      </c>
      <c r="D65" s="56">
        <v>6000</v>
      </c>
      <c r="E65" s="56">
        <v>101.52</v>
      </c>
      <c r="F65" s="56" t="s">
        <v>161</v>
      </c>
    </row>
    <row r="66" spans="1:6" s="35" customFormat="1" ht="14.5" x14ac:dyDescent="0.35">
      <c r="A66" s="47" t="s">
        <v>167</v>
      </c>
      <c r="B66" s="56" t="s">
        <v>113</v>
      </c>
      <c r="C66" s="57">
        <v>42030</v>
      </c>
      <c r="D66" s="56">
        <v>6000</v>
      </c>
      <c r="E66" s="56">
        <v>101.52</v>
      </c>
      <c r="F66" s="56" t="s">
        <v>114</v>
      </c>
    </row>
    <row r="67" spans="1:6" s="35" customFormat="1" ht="14.5" x14ac:dyDescent="0.35">
      <c r="A67" s="54" t="s">
        <v>168</v>
      </c>
      <c r="B67" s="56" t="s">
        <v>110</v>
      </c>
      <c r="C67" s="57">
        <v>42002</v>
      </c>
      <c r="D67" s="56">
        <v>6000</v>
      </c>
      <c r="E67" s="56">
        <v>96.03</v>
      </c>
      <c r="F67" s="56" t="s">
        <v>161</v>
      </c>
    </row>
    <row r="68" spans="1:6" s="35" customFormat="1" ht="14.5" x14ac:dyDescent="0.35">
      <c r="A68" s="54" t="s">
        <v>169</v>
      </c>
      <c r="B68" s="56" t="s">
        <v>113</v>
      </c>
      <c r="C68" s="57">
        <v>42002</v>
      </c>
      <c r="D68" s="56">
        <v>6000</v>
      </c>
      <c r="E68" s="56">
        <v>96.03</v>
      </c>
      <c r="F68" s="56" t="s">
        <v>114</v>
      </c>
    </row>
    <row r="69" spans="1:6" s="35" customFormat="1" ht="14.5" x14ac:dyDescent="0.35">
      <c r="A69" s="54" t="s">
        <v>170</v>
      </c>
      <c r="B69" s="56" t="s">
        <v>110</v>
      </c>
      <c r="C69" s="57">
        <v>41974</v>
      </c>
      <c r="D69" s="56">
        <v>6000</v>
      </c>
      <c r="E69" s="56">
        <v>100.87</v>
      </c>
      <c r="F69" s="56" t="s">
        <v>161</v>
      </c>
    </row>
    <row r="70" spans="1:6" s="35" customFormat="1" ht="14.5" x14ac:dyDescent="0.35">
      <c r="A70" s="47" t="s">
        <v>171</v>
      </c>
      <c r="B70" s="56" t="s">
        <v>113</v>
      </c>
      <c r="C70" s="57">
        <v>41974</v>
      </c>
      <c r="D70" s="56">
        <v>6000</v>
      </c>
      <c r="E70" s="56">
        <v>100.87</v>
      </c>
      <c r="F70" s="56" t="s">
        <v>114</v>
      </c>
    </row>
    <row r="71" spans="1:6" s="35" customFormat="1" ht="14.5" x14ac:dyDescent="0.35">
      <c r="A71" s="46" t="s">
        <v>172</v>
      </c>
      <c r="B71" s="56" t="s">
        <v>110</v>
      </c>
      <c r="C71" s="57">
        <v>41943</v>
      </c>
      <c r="D71" s="56">
        <v>20000</v>
      </c>
      <c r="E71" s="56">
        <v>330.31</v>
      </c>
      <c r="F71" s="56" t="s">
        <v>173</v>
      </c>
    </row>
    <row r="72" spans="1:6" s="35" customFormat="1" ht="14.5" x14ac:dyDescent="0.35">
      <c r="A72" s="42" t="s">
        <v>174</v>
      </c>
      <c r="B72" s="56" t="s">
        <v>113</v>
      </c>
      <c r="C72" s="57">
        <v>41943</v>
      </c>
      <c r="D72" s="56">
        <v>6000</v>
      </c>
      <c r="E72" s="56">
        <v>101.03</v>
      </c>
      <c r="F72" s="56" t="s">
        <v>114</v>
      </c>
    </row>
    <row r="73" spans="1:6" s="35" customFormat="1" ht="14.5" x14ac:dyDescent="0.35">
      <c r="A73" s="42" t="s">
        <v>175</v>
      </c>
      <c r="B73" s="56" t="s">
        <v>110</v>
      </c>
      <c r="C73" s="57">
        <v>41915</v>
      </c>
      <c r="D73" s="56">
        <v>30000</v>
      </c>
      <c r="E73" s="56">
        <v>496.03</v>
      </c>
      <c r="F73" s="56" t="s">
        <v>176</v>
      </c>
    </row>
    <row r="74" spans="1:6" s="35" customFormat="1" ht="14.5" x14ac:dyDescent="0.35">
      <c r="A74" s="42" t="s">
        <v>177</v>
      </c>
      <c r="B74" s="56" t="s">
        <v>113</v>
      </c>
      <c r="C74" s="57">
        <v>41914</v>
      </c>
      <c r="D74" s="56">
        <v>6000</v>
      </c>
      <c r="E74" s="56">
        <v>101.19</v>
      </c>
      <c r="F74" s="56" t="s">
        <v>114</v>
      </c>
    </row>
    <row r="75" spans="1:6" s="35" customFormat="1" ht="14.5" x14ac:dyDescent="0.35">
      <c r="A75" s="42" t="s">
        <v>178</v>
      </c>
      <c r="B75" s="56" t="s">
        <v>110</v>
      </c>
      <c r="C75" s="57">
        <v>41890</v>
      </c>
      <c r="D75" s="56">
        <v>6000</v>
      </c>
      <c r="E75" s="56">
        <v>103.43</v>
      </c>
      <c r="F75" s="56" t="s">
        <v>179</v>
      </c>
    </row>
    <row r="76" spans="1:6" s="35" customFormat="1" ht="14.5" x14ac:dyDescent="0.35">
      <c r="A76" s="42" t="s">
        <v>180</v>
      </c>
      <c r="B76" s="56" t="s">
        <v>113</v>
      </c>
      <c r="C76" s="57">
        <v>41886</v>
      </c>
      <c r="D76" s="56">
        <v>6000</v>
      </c>
      <c r="E76" s="56">
        <v>103.19</v>
      </c>
      <c r="F76" s="56" t="s">
        <v>114</v>
      </c>
    </row>
    <row r="77" spans="1:6" s="35" customFormat="1" ht="14.5" x14ac:dyDescent="0.35">
      <c r="A77" s="42" t="s">
        <v>181</v>
      </c>
      <c r="B77" s="56" t="s">
        <v>113</v>
      </c>
      <c r="C77" s="57">
        <v>41852</v>
      </c>
      <c r="D77" s="56">
        <v>6000</v>
      </c>
      <c r="E77" s="56">
        <v>102.16</v>
      </c>
      <c r="F77" s="56" t="s">
        <v>114</v>
      </c>
    </row>
    <row r="78" spans="1:6" s="35" customFormat="1" ht="14.5" x14ac:dyDescent="0.35">
      <c r="A78" s="42" t="s">
        <v>182</v>
      </c>
      <c r="B78" s="56" t="s">
        <v>110</v>
      </c>
      <c r="C78" s="57">
        <v>41827</v>
      </c>
      <c r="D78" s="56">
        <v>15000</v>
      </c>
      <c r="E78" s="56">
        <v>253.76</v>
      </c>
      <c r="F78" s="56" t="s">
        <v>183</v>
      </c>
    </row>
    <row r="79" spans="1:6" s="35" customFormat="1" ht="14.5" x14ac:dyDescent="0.35">
      <c r="A79" s="42" t="s">
        <v>184</v>
      </c>
      <c r="B79" s="56" t="s">
        <v>113</v>
      </c>
      <c r="C79" s="57">
        <v>41823</v>
      </c>
      <c r="D79" s="56">
        <v>5900</v>
      </c>
      <c r="E79" s="56">
        <v>102.52</v>
      </c>
      <c r="F79" s="56" t="s">
        <v>114</v>
      </c>
    </row>
    <row r="80" spans="1:6" s="35" customFormat="1" ht="14.5" x14ac:dyDescent="0.35">
      <c r="A80" s="42" t="s">
        <v>185</v>
      </c>
      <c r="B80" s="56" t="s">
        <v>110</v>
      </c>
      <c r="C80" s="57">
        <v>41806</v>
      </c>
      <c r="D80" s="56">
        <v>11030.9</v>
      </c>
      <c r="E80" s="56">
        <v>186.18</v>
      </c>
      <c r="F80" s="56" t="s">
        <v>161</v>
      </c>
    </row>
    <row r="81" spans="1:7" s="35" customFormat="1" ht="14.5" x14ac:dyDescent="0.35">
      <c r="A81" s="42" t="s">
        <v>186</v>
      </c>
      <c r="B81" s="56" t="s">
        <v>187</v>
      </c>
      <c r="C81" s="57">
        <v>41773</v>
      </c>
      <c r="D81" s="56">
        <v>65000</v>
      </c>
      <c r="E81" s="56">
        <v>1106.81</v>
      </c>
      <c r="F81" s="56" t="s">
        <v>113</v>
      </c>
    </row>
    <row r="82" spans="1:7" s="35" customFormat="1" ht="14.5" x14ac:dyDescent="0.35">
      <c r="A82" s="42" t="s">
        <v>188</v>
      </c>
      <c r="B82" s="56" t="s">
        <v>187</v>
      </c>
      <c r="C82" s="57">
        <v>41768</v>
      </c>
      <c r="D82" s="56">
        <v>110000</v>
      </c>
      <c r="E82" s="56">
        <v>1858.73</v>
      </c>
      <c r="F82" s="56" t="s">
        <v>113</v>
      </c>
    </row>
    <row r="83" spans="1:7" s="35" customFormat="1" ht="14.5" x14ac:dyDescent="0.35">
      <c r="A83" s="42" t="s">
        <v>189</v>
      </c>
      <c r="B83" s="56" t="s">
        <v>110</v>
      </c>
      <c r="C83" s="57">
        <v>41733</v>
      </c>
      <c r="D83" s="56">
        <v>11830.9</v>
      </c>
      <c r="E83" s="56">
        <v>199.17</v>
      </c>
      <c r="F83" s="56" t="s">
        <v>161</v>
      </c>
    </row>
    <row r="84" spans="1:7" s="35" customFormat="1" ht="14.5" x14ac:dyDescent="0.35">
      <c r="A84" s="42" t="s">
        <v>190</v>
      </c>
      <c r="B84" s="56" t="s">
        <v>187</v>
      </c>
      <c r="C84" s="57">
        <v>41726</v>
      </c>
      <c r="D84" s="56">
        <v>350000</v>
      </c>
      <c r="E84" s="56">
        <v>5921.86</v>
      </c>
      <c r="F84" s="56" t="s">
        <v>191</v>
      </c>
    </row>
    <row r="85" spans="1:7" s="35" customFormat="1" ht="14.5" x14ac:dyDescent="0.35">
      <c r="A85" s="54" t="s">
        <v>192</v>
      </c>
      <c r="B85" s="56" t="s">
        <v>110</v>
      </c>
      <c r="C85" s="57">
        <v>41689</v>
      </c>
      <c r="D85" s="56">
        <v>12000</v>
      </c>
      <c r="E85" s="56">
        <v>201.52</v>
      </c>
      <c r="F85" s="56" t="s">
        <v>161</v>
      </c>
    </row>
    <row r="86" spans="1:7" s="35" customFormat="1" ht="14.5" x14ac:dyDescent="0.35">
      <c r="A86" s="54" t="s">
        <v>193</v>
      </c>
      <c r="B86" s="56" t="s">
        <v>110</v>
      </c>
      <c r="C86" s="57">
        <v>41731</v>
      </c>
      <c r="D86" s="56">
        <v>12500</v>
      </c>
      <c r="E86" s="56">
        <v>200</v>
      </c>
      <c r="F86" s="56" t="s">
        <v>161</v>
      </c>
    </row>
    <row r="87" spans="1:7" s="35" customFormat="1" ht="14.5" x14ac:dyDescent="0.35">
      <c r="A87" s="56">
        <v>1383769105</v>
      </c>
      <c r="B87" s="56" t="s">
        <v>110</v>
      </c>
      <c r="C87" s="57">
        <v>41437</v>
      </c>
      <c r="D87" s="56">
        <v>12197.22</v>
      </c>
      <c r="E87" s="56">
        <v>200</v>
      </c>
      <c r="F87" s="35" t="s">
        <v>194</v>
      </c>
    </row>
    <row r="88" spans="1:7" s="35" customFormat="1" ht="14.5" x14ac:dyDescent="0.35">
      <c r="A88" s="56">
        <v>1383769104</v>
      </c>
      <c r="B88" s="2" t="s">
        <v>110</v>
      </c>
      <c r="C88" s="57"/>
      <c r="D88" s="56">
        <v>30356</v>
      </c>
      <c r="E88" s="56">
        <v>500</v>
      </c>
      <c r="F88" s="35" t="s">
        <v>195</v>
      </c>
      <c r="G88" s="2"/>
    </row>
    <row r="89" spans="1:7" s="35" customFormat="1" ht="14.5" x14ac:dyDescent="0.35">
      <c r="A89" s="56">
        <v>1383769103</v>
      </c>
      <c r="B89" s="2" t="s">
        <v>110</v>
      </c>
      <c r="C89" s="58">
        <v>41556</v>
      </c>
      <c r="D89" s="56">
        <v>12374</v>
      </c>
      <c r="E89" s="56">
        <v>200</v>
      </c>
      <c r="F89" s="35" t="s">
        <v>194</v>
      </c>
      <c r="G89" s="2"/>
    </row>
    <row r="90" spans="1:7" s="35" customFormat="1" ht="14.5" x14ac:dyDescent="0.35">
      <c r="A90" s="56">
        <v>1383769101</v>
      </c>
      <c r="B90" s="2" t="s">
        <v>110</v>
      </c>
      <c r="C90" s="54" t="s">
        <v>196</v>
      </c>
      <c r="D90" s="56">
        <v>35466</v>
      </c>
      <c r="E90" s="56">
        <v>600</v>
      </c>
      <c r="F90" s="35" t="s">
        <v>197</v>
      </c>
      <c r="G90" s="2"/>
    </row>
    <row r="91" spans="1:7" s="35" customFormat="1" ht="14.5" x14ac:dyDescent="0.35">
      <c r="A91" s="56">
        <v>1383769100</v>
      </c>
      <c r="B91" s="2" t="s">
        <v>110</v>
      </c>
      <c r="C91" s="58" t="s">
        <v>198</v>
      </c>
      <c r="D91" s="56">
        <v>29327</v>
      </c>
      <c r="E91" s="56">
        <v>500</v>
      </c>
      <c r="F91" s="35" t="s">
        <v>197</v>
      </c>
      <c r="G91" s="2"/>
    </row>
    <row r="92" spans="1:7" x14ac:dyDescent="0.25">
      <c r="A92" s="35">
        <v>1383769099</v>
      </c>
      <c r="B92" s="2" t="s">
        <v>110</v>
      </c>
      <c r="C92" s="50">
        <v>41430</v>
      </c>
      <c r="D92" s="35">
        <v>26952</v>
      </c>
      <c r="E92" s="35">
        <v>500</v>
      </c>
      <c r="F92" s="35" t="s">
        <v>197</v>
      </c>
      <c r="G92" s="2"/>
    </row>
    <row r="93" spans="1:7" x14ac:dyDescent="0.25">
      <c r="A93" s="35">
        <v>1383769098</v>
      </c>
      <c r="B93" s="2" t="s">
        <v>110</v>
      </c>
      <c r="C93" s="50">
        <v>41490</v>
      </c>
      <c r="D93" s="35">
        <v>53933</v>
      </c>
      <c r="E93" s="35">
        <v>1000</v>
      </c>
      <c r="F93" s="35" t="s">
        <v>197</v>
      </c>
      <c r="G93" s="2"/>
    </row>
    <row r="94" spans="1:7" x14ac:dyDescent="0.25">
      <c r="A94" s="35">
        <v>1383769097</v>
      </c>
      <c r="B94" s="2" t="s">
        <v>110</v>
      </c>
      <c r="C94" s="47" t="s">
        <v>199</v>
      </c>
      <c r="D94" s="35">
        <v>26828</v>
      </c>
      <c r="E94" s="35">
        <v>500</v>
      </c>
      <c r="F94" s="35" t="s">
        <v>197</v>
      </c>
      <c r="G94" s="2"/>
    </row>
    <row r="95" spans="1:7" x14ac:dyDescent="0.25">
      <c r="A95" s="35">
        <v>1383769096</v>
      </c>
      <c r="B95" s="2" t="s">
        <v>110</v>
      </c>
      <c r="C95" s="50">
        <v>41581</v>
      </c>
      <c r="D95" s="35">
        <v>53676</v>
      </c>
      <c r="E95" s="35">
        <v>1000</v>
      </c>
      <c r="F95" s="35" t="s">
        <v>197</v>
      </c>
      <c r="G95" s="2"/>
    </row>
    <row r="96" spans="1:7" ht="25" x14ac:dyDescent="0.25">
      <c r="A96" s="35">
        <v>1383769095</v>
      </c>
      <c r="B96" s="2" t="s">
        <v>110</v>
      </c>
      <c r="C96" s="47" t="s">
        <v>200</v>
      </c>
      <c r="D96" s="35">
        <v>268130</v>
      </c>
      <c r="E96" s="35">
        <v>5000</v>
      </c>
      <c r="F96" s="36" t="s">
        <v>201</v>
      </c>
      <c r="G96" s="2"/>
    </row>
    <row r="97" spans="1:7" x14ac:dyDescent="0.25">
      <c r="A97" s="35">
        <v>1383769094</v>
      </c>
      <c r="B97" s="2" t="s">
        <v>110</v>
      </c>
      <c r="C97" s="47" t="s">
        <v>202</v>
      </c>
      <c r="D97" s="35">
        <v>52924</v>
      </c>
      <c r="E97" s="35">
        <v>1000</v>
      </c>
      <c r="F97" s="35" t="s">
        <v>197</v>
      </c>
      <c r="G97" s="2"/>
    </row>
    <row r="98" spans="1:7" x14ac:dyDescent="0.25">
      <c r="A98" s="35">
        <v>1383769093</v>
      </c>
      <c r="B98" s="2" t="s">
        <v>110</v>
      </c>
      <c r="C98" s="50">
        <v>41579</v>
      </c>
      <c r="D98" s="35">
        <v>54052</v>
      </c>
      <c r="E98" s="35">
        <v>1000</v>
      </c>
      <c r="F98" s="35" t="s">
        <v>197</v>
      </c>
      <c r="G98" s="2"/>
    </row>
    <row r="99" spans="1:7" x14ac:dyDescent="0.25">
      <c r="A99" s="35">
        <v>1383769092</v>
      </c>
      <c r="B99" s="2" t="s">
        <v>110</v>
      </c>
      <c r="C99" s="50">
        <v>41011</v>
      </c>
      <c r="D99" s="35">
        <v>80828</v>
      </c>
      <c r="E99" s="35">
        <v>1500</v>
      </c>
      <c r="F99" s="35" t="s">
        <v>197</v>
      </c>
      <c r="G99" s="2"/>
    </row>
    <row r="100" spans="1:7" x14ac:dyDescent="0.25">
      <c r="A100" s="35">
        <v>1383769091</v>
      </c>
      <c r="B100" s="2" t="s">
        <v>110</v>
      </c>
      <c r="C100" s="50">
        <v>41040</v>
      </c>
      <c r="D100" s="35">
        <v>53754</v>
      </c>
      <c r="E100" s="35">
        <v>1000</v>
      </c>
      <c r="F100" s="35" t="s">
        <v>197</v>
      </c>
      <c r="G100" s="2"/>
    </row>
    <row r="101" spans="1:7" x14ac:dyDescent="0.25">
      <c r="A101" s="35">
        <v>1383769090</v>
      </c>
      <c r="B101" s="2" t="s">
        <v>110</v>
      </c>
      <c r="C101" s="50">
        <v>41223</v>
      </c>
      <c r="D101" s="35">
        <v>52200</v>
      </c>
      <c r="E101" s="35">
        <v>1000</v>
      </c>
      <c r="F101" s="35" t="s">
        <v>197</v>
      </c>
      <c r="G101" s="2"/>
    </row>
    <row r="102" spans="1:7" x14ac:dyDescent="0.25">
      <c r="A102" s="35">
        <v>1383769089</v>
      </c>
      <c r="B102" s="2" t="s">
        <v>110</v>
      </c>
      <c r="C102" s="50">
        <v>41191</v>
      </c>
      <c r="D102" s="35">
        <v>54081</v>
      </c>
      <c r="E102" s="35">
        <v>1000</v>
      </c>
      <c r="F102" s="35" t="s">
        <v>197</v>
      </c>
      <c r="G102" s="2"/>
    </row>
    <row r="103" spans="1:7" ht="25" x14ac:dyDescent="0.25">
      <c r="A103" s="35">
        <v>1383769088</v>
      </c>
      <c r="B103" s="2" t="s">
        <v>110</v>
      </c>
      <c r="C103" s="50">
        <v>41221</v>
      </c>
      <c r="D103" s="35">
        <v>110196</v>
      </c>
      <c r="E103" s="35">
        <v>2000</v>
      </c>
      <c r="F103" s="36" t="s">
        <v>203</v>
      </c>
      <c r="G103" s="2"/>
    </row>
    <row r="104" spans="1:7" x14ac:dyDescent="0.25">
      <c r="A104" s="35">
        <v>1383769087</v>
      </c>
      <c r="B104" s="2" t="s">
        <v>110</v>
      </c>
      <c r="C104" s="50">
        <v>40947</v>
      </c>
      <c r="D104" s="35">
        <v>54635</v>
      </c>
      <c r="E104" s="35">
        <v>1000</v>
      </c>
      <c r="F104" s="35" t="s">
        <v>197</v>
      </c>
      <c r="G104" s="2"/>
    </row>
    <row r="105" spans="1:7" x14ac:dyDescent="0.25">
      <c r="A105" s="35">
        <v>1383769086</v>
      </c>
      <c r="B105" s="2" t="s">
        <v>110</v>
      </c>
      <c r="C105" s="47" t="s">
        <v>204</v>
      </c>
      <c r="D105" s="35">
        <v>6513</v>
      </c>
      <c r="E105" s="35">
        <v>120</v>
      </c>
      <c r="F105" s="35" t="s">
        <v>194</v>
      </c>
      <c r="G105" s="2"/>
    </row>
    <row r="106" spans="1:7" x14ac:dyDescent="0.25">
      <c r="A106" s="35">
        <v>1383769085</v>
      </c>
      <c r="B106" s="2" t="s">
        <v>110</v>
      </c>
      <c r="C106" s="50">
        <v>41067</v>
      </c>
      <c r="D106" s="35">
        <v>5479</v>
      </c>
      <c r="E106" s="35">
        <v>100</v>
      </c>
      <c r="F106" s="35" t="s">
        <v>194</v>
      </c>
      <c r="G106" s="2"/>
    </row>
    <row r="107" spans="1:7" x14ac:dyDescent="0.25">
      <c r="A107" s="35">
        <v>1383769084</v>
      </c>
      <c r="B107" s="2" t="s">
        <v>110</v>
      </c>
      <c r="C107" s="47" t="s">
        <v>205</v>
      </c>
      <c r="D107" s="35">
        <v>6762</v>
      </c>
      <c r="E107" s="35">
        <v>120</v>
      </c>
      <c r="F107" s="35" t="s">
        <v>194</v>
      </c>
      <c r="G107" s="2"/>
    </row>
    <row r="108" spans="1:7" ht="25" x14ac:dyDescent="0.25">
      <c r="A108" s="35">
        <v>1383769083</v>
      </c>
      <c r="B108" s="2" t="s">
        <v>110</v>
      </c>
      <c r="C108" s="47" t="s">
        <v>206</v>
      </c>
      <c r="D108" s="35">
        <v>246056</v>
      </c>
      <c r="E108" s="35">
        <v>4400</v>
      </c>
      <c r="F108" s="36" t="s">
        <v>207</v>
      </c>
      <c r="G108" s="2"/>
    </row>
    <row r="109" spans="1:7" x14ac:dyDescent="0.25">
      <c r="A109" s="35">
        <v>1383769082</v>
      </c>
      <c r="B109" s="2" t="s">
        <v>110</v>
      </c>
      <c r="C109" s="47" t="s">
        <v>208</v>
      </c>
      <c r="D109" s="35">
        <v>7049</v>
      </c>
      <c r="E109" s="35">
        <v>130</v>
      </c>
      <c r="F109" s="35" t="s">
        <v>194</v>
      </c>
      <c r="G109" s="2"/>
    </row>
    <row r="110" spans="1:7" x14ac:dyDescent="0.25">
      <c r="A110" s="35">
        <v>1383769081</v>
      </c>
      <c r="B110" s="2" t="s">
        <v>110</v>
      </c>
      <c r="C110" s="47" t="s">
        <v>209</v>
      </c>
      <c r="D110" s="35">
        <v>52359</v>
      </c>
      <c r="E110" s="35">
        <v>1000</v>
      </c>
      <c r="F110" s="35" t="s">
        <v>197</v>
      </c>
      <c r="G110" s="2"/>
    </row>
    <row r="111" spans="1:7" x14ac:dyDescent="0.25">
      <c r="A111" s="35">
        <v>1383769080</v>
      </c>
      <c r="B111" s="2" t="s">
        <v>110</v>
      </c>
      <c r="C111" s="47" t="s">
        <v>210</v>
      </c>
      <c r="D111" s="35">
        <v>6667</v>
      </c>
      <c r="E111" s="35">
        <v>130</v>
      </c>
      <c r="F111" s="35" t="s">
        <v>194</v>
      </c>
      <c r="G111" s="2"/>
    </row>
    <row r="112" spans="1:7" x14ac:dyDescent="0.25">
      <c r="A112" s="35">
        <v>1383769079</v>
      </c>
      <c r="B112" s="2" t="s">
        <v>211</v>
      </c>
      <c r="C112" s="50">
        <v>41033</v>
      </c>
      <c r="D112" s="35">
        <v>10169</v>
      </c>
      <c r="E112" s="35">
        <v>200</v>
      </c>
      <c r="F112" s="35"/>
      <c r="G112" s="2"/>
    </row>
    <row r="113" spans="1:8" x14ac:dyDescent="0.25">
      <c r="A113" s="35">
        <v>1383769078</v>
      </c>
      <c r="B113" s="2" t="s">
        <v>110</v>
      </c>
      <c r="C113" s="50">
        <v>40972</v>
      </c>
      <c r="D113" s="35">
        <v>254138</v>
      </c>
      <c r="E113" s="35">
        <v>5000</v>
      </c>
      <c r="F113" s="35" t="s">
        <v>212</v>
      </c>
      <c r="G113" s="2"/>
    </row>
    <row r="114" spans="1:8" x14ac:dyDescent="0.25">
      <c r="A114" s="35">
        <v>1383769077</v>
      </c>
      <c r="B114" s="2" t="s">
        <v>110</v>
      </c>
      <c r="C114" s="47" t="s">
        <v>213</v>
      </c>
      <c r="D114" s="35">
        <v>6469</v>
      </c>
      <c r="E114" s="35">
        <v>130</v>
      </c>
      <c r="F114" s="35" t="s">
        <v>194</v>
      </c>
      <c r="G114" s="2"/>
    </row>
    <row r="115" spans="1:8" x14ac:dyDescent="0.25">
      <c r="A115" s="35">
        <v>1383769076</v>
      </c>
      <c r="B115" s="2" t="s">
        <v>214</v>
      </c>
      <c r="C115" s="50"/>
      <c r="D115" s="35">
        <v>25194</v>
      </c>
      <c r="E115" s="35">
        <v>510</v>
      </c>
      <c r="F115" s="35" t="s">
        <v>215</v>
      </c>
      <c r="G115" s="2"/>
    </row>
    <row r="116" spans="1:8" x14ac:dyDescent="0.25">
      <c r="A116" s="35">
        <v>1383769074</v>
      </c>
      <c r="B116" s="2" t="s">
        <v>110</v>
      </c>
      <c r="C116" s="47" t="s">
        <v>216</v>
      </c>
      <c r="D116" s="35">
        <v>6294</v>
      </c>
      <c r="E116" s="35"/>
      <c r="F116" s="35"/>
      <c r="G116" s="2"/>
    </row>
    <row r="117" spans="1:8" x14ac:dyDescent="0.25">
      <c r="A117" s="35">
        <v>1383769073</v>
      </c>
      <c r="B117" s="2" t="s">
        <v>110</v>
      </c>
      <c r="C117" s="50">
        <v>41244</v>
      </c>
      <c r="D117" s="35">
        <v>6440</v>
      </c>
      <c r="E117" s="35">
        <v>130</v>
      </c>
      <c r="F117" s="35" t="s">
        <v>194</v>
      </c>
      <c r="G117" s="2"/>
    </row>
    <row r="118" spans="1:8" x14ac:dyDescent="0.25">
      <c r="A118" s="35">
        <v>1383769071</v>
      </c>
      <c r="B118" s="2" t="s">
        <v>110</v>
      </c>
      <c r="C118" s="47" t="s">
        <v>217</v>
      </c>
      <c r="D118" s="35">
        <v>6799</v>
      </c>
      <c r="E118" s="35">
        <v>130</v>
      </c>
      <c r="F118" s="35" t="s">
        <v>194</v>
      </c>
      <c r="G118" s="2"/>
    </row>
    <row r="119" spans="1:8" x14ac:dyDescent="0.25">
      <c r="A119" s="35">
        <v>1383769070</v>
      </c>
      <c r="B119" s="2" t="s">
        <v>110</v>
      </c>
      <c r="C119" s="50">
        <v>40858</v>
      </c>
      <c r="D119" s="35">
        <v>6586</v>
      </c>
      <c r="E119" s="35">
        <v>130</v>
      </c>
      <c r="F119" s="35" t="s">
        <v>194</v>
      </c>
      <c r="G119" s="2"/>
    </row>
    <row r="120" spans="1:8" x14ac:dyDescent="0.25">
      <c r="A120" s="35">
        <v>1383769069</v>
      </c>
      <c r="B120" s="2" t="s">
        <v>110</v>
      </c>
      <c r="C120" s="47" t="s">
        <v>218</v>
      </c>
      <c r="D120" s="35">
        <v>12062</v>
      </c>
      <c r="E120" s="35">
        <v>250</v>
      </c>
      <c r="F120" s="35" t="s">
        <v>195</v>
      </c>
      <c r="G120" s="2"/>
    </row>
    <row r="121" spans="1:8" x14ac:dyDescent="0.25">
      <c r="A121" s="35">
        <v>1383769068</v>
      </c>
      <c r="B121" s="2" t="s">
        <v>110</v>
      </c>
      <c r="C121" s="47" t="s">
        <v>219</v>
      </c>
      <c r="D121" s="35">
        <v>6360</v>
      </c>
      <c r="E121" s="35">
        <v>130</v>
      </c>
      <c r="F121" s="35" t="s">
        <v>194</v>
      </c>
      <c r="G121" s="2"/>
      <c r="H121" s="35"/>
    </row>
    <row r="122" spans="1:8" x14ac:dyDescent="0.25">
      <c r="A122" s="35">
        <v>1383769066</v>
      </c>
      <c r="B122" s="2" t="s">
        <v>220</v>
      </c>
      <c r="C122" s="47" t="s">
        <v>221</v>
      </c>
      <c r="D122" s="35">
        <v>50320</v>
      </c>
      <c r="E122" s="35">
        <v>1060</v>
      </c>
      <c r="F122" s="35"/>
      <c r="G122" s="2"/>
      <c r="H122" s="35"/>
    </row>
    <row r="123" spans="1:8" x14ac:dyDescent="0.25">
      <c r="A123" s="35">
        <v>1383769065</v>
      </c>
      <c r="B123" s="2" t="s">
        <v>211</v>
      </c>
      <c r="C123" s="47" t="s">
        <v>222</v>
      </c>
      <c r="D123" s="35"/>
      <c r="E123" s="35">
        <v>530</v>
      </c>
      <c r="F123" s="35"/>
      <c r="G123" s="2"/>
      <c r="H123" s="35" t="s">
        <v>223</v>
      </c>
    </row>
    <row r="124" spans="1:8" x14ac:dyDescent="0.25">
      <c r="A124" s="35">
        <v>1383769064</v>
      </c>
      <c r="B124" s="2" t="s">
        <v>110</v>
      </c>
      <c r="C124" s="47" t="s">
        <v>222</v>
      </c>
      <c r="D124" s="35"/>
      <c r="E124" s="35">
        <v>130</v>
      </c>
      <c r="F124" s="35" t="s">
        <v>194</v>
      </c>
      <c r="G124" s="2"/>
      <c r="H124" s="35" t="s">
        <v>223</v>
      </c>
    </row>
    <row r="125" spans="1:8" x14ac:dyDescent="0.25">
      <c r="A125" s="35">
        <v>1383769063</v>
      </c>
      <c r="B125" s="2" t="s">
        <v>220</v>
      </c>
      <c r="C125" s="47" t="s">
        <v>224</v>
      </c>
      <c r="D125" s="35">
        <v>50592</v>
      </c>
      <c r="E125" s="35">
        <v>1110</v>
      </c>
      <c r="F125" s="35"/>
      <c r="G125" s="2"/>
      <c r="H125" s="35" t="s">
        <v>223</v>
      </c>
    </row>
    <row r="126" spans="1:8" x14ac:dyDescent="0.25">
      <c r="A126" s="35">
        <v>1383769062</v>
      </c>
      <c r="B126" s="2" t="s">
        <v>187</v>
      </c>
      <c r="C126" s="47" t="s">
        <v>225</v>
      </c>
      <c r="D126" s="35">
        <v>31801</v>
      </c>
      <c r="E126" s="35">
        <v>700</v>
      </c>
      <c r="F126" s="35" t="s">
        <v>215</v>
      </c>
      <c r="G126" s="2"/>
      <c r="H126" s="35"/>
    </row>
    <row r="127" spans="1:8" x14ac:dyDescent="0.25">
      <c r="A127" s="35">
        <v>1383769061</v>
      </c>
      <c r="B127" s="2" t="s">
        <v>110</v>
      </c>
      <c r="C127" s="47" t="s">
        <v>225</v>
      </c>
      <c r="D127" s="35">
        <v>5886</v>
      </c>
      <c r="E127" s="35">
        <v>130</v>
      </c>
      <c r="F127" s="35" t="s">
        <v>194</v>
      </c>
      <c r="G127" s="2"/>
      <c r="H127" s="35"/>
    </row>
    <row r="128" spans="1:8" x14ac:dyDescent="0.25">
      <c r="A128" s="35">
        <v>1383769060</v>
      </c>
      <c r="B128" s="2" t="s">
        <v>211</v>
      </c>
      <c r="C128" s="47"/>
      <c r="D128" s="35">
        <v>5252</v>
      </c>
      <c r="E128" s="35">
        <v>120</v>
      </c>
      <c r="F128" s="35"/>
      <c r="G128" s="35"/>
      <c r="H128" s="35"/>
    </row>
    <row r="129" spans="1:8" x14ac:dyDescent="0.25">
      <c r="A129" s="35">
        <v>1383769059</v>
      </c>
      <c r="B129" s="2" t="s">
        <v>110</v>
      </c>
      <c r="C129" s="47" t="s">
        <v>226</v>
      </c>
      <c r="D129" s="35">
        <v>5697</v>
      </c>
      <c r="E129" s="35">
        <v>130</v>
      </c>
      <c r="F129" s="35" t="s">
        <v>194</v>
      </c>
      <c r="G129" s="35"/>
      <c r="H129" s="35"/>
    </row>
    <row r="130" spans="1:8" x14ac:dyDescent="0.25">
      <c r="A130" s="35">
        <v>1383769058</v>
      </c>
      <c r="B130" s="2" t="s">
        <v>110</v>
      </c>
      <c r="C130" s="47" t="s">
        <v>227</v>
      </c>
      <c r="D130" s="35">
        <v>5764</v>
      </c>
      <c r="E130" s="35">
        <v>130</v>
      </c>
      <c r="F130" s="35" t="s">
        <v>194</v>
      </c>
      <c r="G130" s="35"/>
      <c r="H130" s="35"/>
    </row>
    <row r="131" spans="1:8" x14ac:dyDescent="0.25">
      <c r="A131" s="35">
        <v>1383769057</v>
      </c>
      <c r="B131" s="2" t="s">
        <v>110</v>
      </c>
      <c r="C131" s="47" t="s">
        <v>228</v>
      </c>
      <c r="D131" s="35">
        <v>5756</v>
      </c>
      <c r="E131" s="35">
        <v>130</v>
      </c>
      <c r="F131" s="35" t="s">
        <v>194</v>
      </c>
      <c r="G131" s="35"/>
      <c r="H131" s="35"/>
    </row>
    <row r="132" spans="1:8" x14ac:dyDescent="0.25">
      <c r="A132" s="35">
        <v>1383769056</v>
      </c>
      <c r="B132" s="2" t="s">
        <v>211</v>
      </c>
      <c r="C132" s="50">
        <v>40607</v>
      </c>
      <c r="D132" s="35">
        <v>13243</v>
      </c>
      <c r="E132" s="35">
        <v>300</v>
      </c>
      <c r="F132" s="35"/>
      <c r="G132" s="35"/>
      <c r="H132" s="35"/>
    </row>
    <row r="133" spans="1:8" x14ac:dyDescent="0.25">
      <c r="A133" s="35">
        <v>1383769055</v>
      </c>
      <c r="B133" s="2" t="s">
        <v>187</v>
      </c>
      <c r="C133" s="47" t="s">
        <v>229</v>
      </c>
      <c r="D133" s="35">
        <v>66105</v>
      </c>
      <c r="E133" s="35">
        <v>1500</v>
      </c>
      <c r="F133" s="35" t="s">
        <v>215</v>
      </c>
      <c r="G133" s="35"/>
      <c r="H133" s="35"/>
    </row>
    <row r="134" spans="1:8" x14ac:dyDescent="0.25">
      <c r="A134" s="35">
        <v>1383769054</v>
      </c>
      <c r="B134" s="2" t="s">
        <v>110</v>
      </c>
      <c r="C134" s="47" t="s">
        <v>230</v>
      </c>
      <c r="D134" s="35">
        <v>5686</v>
      </c>
      <c r="E134" s="35">
        <v>130</v>
      </c>
      <c r="F134" s="35" t="s">
        <v>194</v>
      </c>
      <c r="G134" s="35"/>
      <c r="H134" s="35"/>
    </row>
    <row r="135" spans="1:8" x14ac:dyDescent="0.25">
      <c r="A135" s="35">
        <v>1383769053</v>
      </c>
      <c r="B135" s="2" t="s">
        <v>211</v>
      </c>
      <c r="C135" s="47" t="s">
        <v>231</v>
      </c>
      <c r="D135" s="35">
        <v>15043</v>
      </c>
      <c r="E135" s="35">
        <v>340</v>
      </c>
      <c r="F135" s="35"/>
      <c r="G135" s="35"/>
      <c r="H135" s="35"/>
    </row>
    <row r="136" spans="1:8" x14ac:dyDescent="0.25">
      <c r="A136" s="35">
        <v>1383769052</v>
      </c>
      <c r="B136" s="2" t="s">
        <v>187</v>
      </c>
      <c r="C136" s="47" t="s">
        <v>232</v>
      </c>
      <c r="D136" s="35">
        <v>66835</v>
      </c>
      <c r="E136" s="35">
        <v>1500</v>
      </c>
      <c r="F136" s="35" t="s">
        <v>215</v>
      </c>
      <c r="G136" s="35"/>
      <c r="H136" s="35"/>
    </row>
    <row r="137" spans="1:8" x14ac:dyDescent="0.25">
      <c r="A137" s="35">
        <v>1383769051</v>
      </c>
      <c r="B137" s="2" t="s">
        <v>187</v>
      </c>
      <c r="C137" s="47" t="s">
        <v>233</v>
      </c>
      <c r="D137" s="35">
        <v>66984</v>
      </c>
      <c r="E137" s="35">
        <v>1500</v>
      </c>
      <c r="F137" s="35" t="s">
        <v>215</v>
      </c>
    </row>
    <row r="138" spans="1:8" x14ac:dyDescent="0.25">
      <c r="A138" s="35">
        <v>1383769050</v>
      </c>
      <c r="B138" s="2" t="s">
        <v>110</v>
      </c>
      <c r="C138" s="47" t="s">
        <v>234</v>
      </c>
      <c r="D138" s="35">
        <v>5779</v>
      </c>
      <c r="E138" s="35">
        <v>130</v>
      </c>
      <c r="F138" s="35" t="s">
        <v>194</v>
      </c>
    </row>
    <row r="139" spans="1:8" x14ac:dyDescent="0.25">
      <c r="A139" s="35">
        <v>1383769049</v>
      </c>
      <c r="B139" s="2" t="s">
        <v>110</v>
      </c>
      <c r="C139" s="47" t="s">
        <v>235</v>
      </c>
      <c r="D139" s="35">
        <v>5814</v>
      </c>
      <c r="E139" s="35">
        <v>130</v>
      </c>
      <c r="F139" s="35" t="s">
        <v>194</v>
      </c>
    </row>
    <row r="140" spans="1:8" x14ac:dyDescent="0.25">
      <c r="A140" s="35">
        <v>1383769048</v>
      </c>
      <c r="B140" s="2" t="s">
        <v>110</v>
      </c>
      <c r="C140" s="47" t="s">
        <v>236</v>
      </c>
      <c r="D140" s="35">
        <v>5838</v>
      </c>
      <c r="E140" s="35">
        <v>130</v>
      </c>
      <c r="F140" s="35" t="s">
        <v>194</v>
      </c>
    </row>
    <row r="141" spans="1:8" x14ac:dyDescent="0.25">
      <c r="A141" s="35">
        <v>1383769047</v>
      </c>
      <c r="B141" s="2" t="s">
        <v>110</v>
      </c>
      <c r="C141" s="47" t="s">
        <v>237</v>
      </c>
      <c r="D141" s="35">
        <v>5801</v>
      </c>
      <c r="E141" s="35">
        <v>130</v>
      </c>
      <c r="F141" s="35" t="s">
        <v>194</v>
      </c>
    </row>
    <row r="142" spans="1:8" x14ac:dyDescent="0.25">
      <c r="A142" s="35">
        <v>1383769046</v>
      </c>
      <c r="B142" s="2" t="s">
        <v>110</v>
      </c>
      <c r="C142" s="47" t="s">
        <v>238</v>
      </c>
      <c r="D142" s="35">
        <v>5801</v>
      </c>
      <c r="E142" s="35">
        <v>130</v>
      </c>
      <c r="F142" s="35" t="s">
        <v>194</v>
      </c>
    </row>
    <row r="143" spans="1:8" x14ac:dyDescent="0.25">
      <c r="A143" s="35">
        <v>1383769045</v>
      </c>
      <c r="B143" s="2" t="s">
        <v>110</v>
      </c>
      <c r="C143" s="47" t="s">
        <v>239</v>
      </c>
      <c r="D143" s="35">
        <v>5671</v>
      </c>
      <c r="E143" s="35">
        <v>130</v>
      </c>
      <c r="F143" s="35" t="s">
        <v>194</v>
      </c>
    </row>
    <row r="144" spans="1:8" x14ac:dyDescent="0.25">
      <c r="A144" s="35">
        <v>1383769044</v>
      </c>
      <c r="B144" s="2" t="s">
        <v>211</v>
      </c>
      <c r="C144" s="47" t="s">
        <v>239</v>
      </c>
      <c r="D144" s="35">
        <v>7642</v>
      </c>
      <c r="E144" s="35">
        <v>175</v>
      </c>
      <c r="F144" s="35"/>
    </row>
    <row r="145" spans="1:6" x14ac:dyDescent="0.25">
      <c r="A145" s="35">
        <v>1383769043</v>
      </c>
      <c r="B145" s="2" t="s">
        <v>110</v>
      </c>
      <c r="C145" s="47" t="s">
        <v>240</v>
      </c>
      <c r="D145" s="35">
        <v>5843</v>
      </c>
      <c r="E145" s="35">
        <v>130</v>
      </c>
      <c r="F145" s="35" t="s">
        <v>194</v>
      </c>
    </row>
    <row r="146" spans="1:6" ht="37.5" x14ac:dyDescent="0.25">
      <c r="A146" s="35">
        <v>1383769042</v>
      </c>
      <c r="B146" s="2" t="s">
        <v>187</v>
      </c>
      <c r="C146" s="47" t="s">
        <v>241</v>
      </c>
      <c r="D146" s="35">
        <v>9201</v>
      </c>
      <c r="E146" s="35">
        <v>200</v>
      </c>
      <c r="F146" s="36" t="s">
        <v>242</v>
      </c>
    </row>
    <row r="147" spans="1:6" x14ac:dyDescent="0.25">
      <c r="A147" s="35">
        <v>1383769041</v>
      </c>
      <c r="B147" s="2" t="s">
        <v>110</v>
      </c>
      <c r="C147" s="47" t="s">
        <v>241</v>
      </c>
      <c r="D147" s="35">
        <v>5972</v>
      </c>
      <c r="E147" s="35">
        <v>130</v>
      </c>
      <c r="F147" s="35" t="s">
        <v>194</v>
      </c>
    </row>
    <row r="148" spans="1:6" x14ac:dyDescent="0.25">
      <c r="A148" s="35">
        <v>1383769040</v>
      </c>
      <c r="B148" s="2" t="s">
        <v>187</v>
      </c>
      <c r="C148" s="47" t="s">
        <v>243</v>
      </c>
      <c r="D148" s="35">
        <v>37079</v>
      </c>
      <c r="E148" s="35">
        <v>800</v>
      </c>
      <c r="F148" s="35" t="s">
        <v>215</v>
      </c>
    </row>
    <row r="149" spans="1:6" x14ac:dyDescent="0.25">
      <c r="A149" s="35">
        <v>1383769039</v>
      </c>
      <c r="B149" s="2" t="s">
        <v>211</v>
      </c>
      <c r="C149" s="47" t="s">
        <v>244</v>
      </c>
      <c r="D149" s="35">
        <v>4657</v>
      </c>
      <c r="E149" s="35">
        <v>100</v>
      </c>
      <c r="F149" s="35"/>
    </row>
    <row r="150" spans="1:6" x14ac:dyDescent="0.25">
      <c r="A150" s="35">
        <v>1383769036</v>
      </c>
      <c r="B150" s="2" t="s">
        <v>211</v>
      </c>
      <c r="C150" s="47" t="s">
        <v>245</v>
      </c>
      <c r="D150" s="35">
        <v>10596</v>
      </c>
      <c r="E150" s="35">
        <v>230</v>
      </c>
      <c r="F150" s="35"/>
    </row>
    <row r="151" spans="1:6" x14ac:dyDescent="0.25">
      <c r="A151" s="35">
        <v>1383769035</v>
      </c>
      <c r="B151" s="2" t="s">
        <v>187</v>
      </c>
      <c r="C151" s="47" t="s">
        <v>246</v>
      </c>
      <c r="D151" s="35">
        <v>4387</v>
      </c>
      <c r="E151" s="35">
        <v>100</v>
      </c>
      <c r="F151" s="35" t="s">
        <v>215</v>
      </c>
    </row>
    <row r="152" spans="1:6" x14ac:dyDescent="0.25">
      <c r="A152" s="35">
        <v>1383769034</v>
      </c>
      <c r="B152" s="2" t="s">
        <v>211</v>
      </c>
      <c r="C152" s="50">
        <v>40394</v>
      </c>
      <c r="D152" s="35">
        <v>10061</v>
      </c>
      <c r="E152" s="35">
        <v>230</v>
      </c>
      <c r="F152" s="35"/>
    </row>
    <row r="153" spans="1:6" x14ac:dyDescent="0.25">
      <c r="A153" s="35">
        <v>1383769033</v>
      </c>
      <c r="B153" s="2" t="s">
        <v>110</v>
      </c>
      <c r="C153" s="47" t="s">
        <v>247</v>
      </c>
      <c r="D153" s="35">
        <v>90435</v>
      </c>
      <c r="E153" s="35">
        <v>2000</v>
      </c>
      <c r="F153" s="35" t="s">
        <v>248</v>
      </c>
    </row>
    <row r="154" spans="1:6" x14ac:dyDescent="0.25">
      <c r="A154" s="35">
        <v>1383769032</v>
      </c>
      <c r="B154" s="2" t="s">
        <v>110</v>
      </c>
      <c r="C154" s="47" t="s">
        <v>249</v>
      </c>
      <c r="D154" s="35">
        <v>11365</v>
      </c>
      <c r="E154" s="35">
        <v>250</v>
      </c>
      <c r="F154" s="35"/>
    </row>
    <row r="155" spans="1:6" x14ac:dyDescent="0.25">
      <c r="A155" s="35">
        <v>1383769031</v>
      </c>
      <c r="B155" s="2" t="s">
        <v>187</v>
      </c>
      <c r="C155" s="47" t="s">
        <v>249</v>
      </c>
      <c r="D155" s="35">
        <v>4531</v>
      </c>
      <c r="E155" s="35">
        <v>100</v>
      </c>
      <c r="F155" s="35"/>
    </row>
    <row r="156" spans="1:6" x14ac:dyDescent="0.25">
      <c r="A156" s="35">
        <v>1383769030</v>
      </c>
      <c r="B156" s="2" t="s">
        <v>110</v>
      </c>
      <c r="C156" s="47" t="s">
        <v>250</v>
      </c>
      <c r="D156" s="35">
        <v>9177</v>
      </c>
      <c r="E156" s="35">
        <v>200</v>
      </c>
      <c r="F156" s="35"/>
    </row>
    <row r="157" spans="1:6" x14ac:dyDescent="0.25">
      <c r="A157" s="35">
        <v>1383769029</v>
      </c>
      <c r="B157" s="2" t="s">
        <v>211</v>
      </c>
      <c r="C157" s="50">
        <v>40066</v>
      </c>
      <c r="D157" s="35">
        <v>9071</v>
      </c>
      <c r="E157" s="35">
        <v>200</v>
      </c>
      <c r="F157" s="35"/>
    </row>
    <row r="158" spans="1:6" x14ac:dyDescent="0.25">
      <c r="A158" s="35">
        <v>1383769028</v>
      </c>
      <c r="B158" s="2" t="s">
        <v>110</v>
      </c>
      <c r="C158" s="47" t="s">
        <v>251</v>
      </c>
      <c r="D158" s="35">
        <v>23715</v>
      </c>
      <c r="E158" s="35">
        <v>500</v>
      </c>
      <c r="F158" s="35"/>
    </row>
    <row r="159" spans="1:6" x14ac:dyDescent="0.25">
      <c r="A159" s="35">
        <v>1383769027</v>
      </c>
      <c r="B159" s="2" t="s">
        <v>211</v>
      </c>
      <c r="C159" s="47" t="s">
        <v>252</v>
      </c>
      <c r="D159" s="35">
        <v>9639</v>
      </c>
      <c r="E159" s="35">
        <v>200</v>
      </c>
      <c r="F159" s="35"/>
    </row>
    <row r="160" spans="1:6" x14ac:dyDescent="0.25">
      <c r="A160" s="35">
        <v>1383769026</v>
      </c>
      <c r="B160" s="2" t="s">
        <v>214</v>
      </c>
      <c r="C160" s="50">
        <v>40123</v>
      </c>
      <c r="D160" s="35">
        <v>23655</v>
      </c>
      <c r="E160" s="35">
        <v>500</v>
      </c>
      <c r="F160" s="35"/>
    </row>
    <row r="161" spans="1:6" x14ac:dyDescent="0.25">
      <c r="A161" s="35">
        <v>1383769025</v>
      </c>
      <c r="B161" s="2" t="s">
        <v>214</v>
      </c>
      <c r="C161" s="47" t="s">
        <v>253</v>
      </c>
      <c r="D161" s="35">
        <v>23185</v>
      </c>
      <c r="E161" s="35">
        <v>500</v>
      </c>
      <c r="F161" s="35"/>
    </row>
    <row r="162" spans="1:6" x14ac:dyDescent="0.25">
      <c r="A162" s="35">
        <v>1383769024</v>
      </c>
      <c r="B162" s="2" t="s">
        <v>214</v>
      </c>
      <c r="C162" s="50">
        <v>40122</v>
      </c>
      <c r="D162" s="35">
        <v>48975</v>
      </c>
      <c r="E162" s="35">
        <v>1000</v>
      </c>
      <c r="F162" s="35"/>
    </row>
    <row r="163" spans="1:6" x14ac:dyDescent="0.25">
      <c r="A163" s="35">
        <v>1383769023</v>
      </c>
      <c r="B163" s="2" t="s">
        <v>211</v>
      </c>
      <c r="C163" s="47" t="s">
        <v>254</v>
      </c>
      <c r="D163" s="35">
        <v>10691</v>
      </c>
      <c r="E163" s="35">
        <v>210</v>
      </c>
      <c r="F163" s="35"/>
    </row>
    <row r="164" spans="1:6" x14ac:dyDescent="0.25">
      <c r="A164" s="35">
        <v>1383769022</v>
      </c>
      <c r="B164" s="2" t="s">
        <v>110</v>
      </c>
      <c r="C164" s="47" t="s">
        <v>255</v>
      </c>
      <c r="D164" s="35">
        <v>24130</v>
      </c>
      <c r="E164" s="35">
        <v>500</v>
      </c>
      <c r="F164" s="35" t="s">
        <v>256</v>
      </c>
    </row>
    <row r="165" spans="1:6" x14ac:dyDescent="0.25">
      <c r="A165" s="35">
        <v>1383769021</v>
      </c>
      <c r="B165" s="2" t="s">
        <v>211</v>
      </c>
      <c r="C165" s="50">
        <v>39670</v>
      </c>
      <c r="D165" s="35">
        <v>9543</v>
      </c>
      <c r="E165" s="35">
        <v>200</v>
      </c>
      <c r="F165" s="35"/>
    </row>
    <row r="166" spans="1:6" x14ac:dyDescent="0.25">
      <c r="A166" s="35">
        <v>1383769020</v>
      </c>
      <c r="B166" s="2" t="s">
        <v>187</v>
      </c>
      <c r="C166" s="47" t="s">
        <v>257</v>
      </c>
      <c r="D166" s="35">
        <v>29655</v>
      </c>
      <c r="E166" s="35">
        <v>700</v>
      </c>
      <c r="F166" s="35"/>
    </row>
    <row r="167" spans="1:6" x14ac:dyDescent="0.25">
      <c r="A167" s="35">
        <v>1383769019</v>
      </c>
      <c r="B167" s="2" t="s">
        <v>211</v>
      </c>
      <c r="C167" s="47" t="s">
        <v>258</v>
      </c>
      <c r="D167" s="35">
        <v>8435</v>
      </c>
      <c r="E167" s="35">
        <v>200</v>
      </c>
      <c r="F167" s="35"/>
    </row>
    <row r="168" spans="1:6" x14ac:dyDescent="0.25">
      <c r="A168" s="35">
        <v>1383769018</v>
      </c>
      <c r="B168" s="2" t="s">
        <v>110</v>
      </c>
      <c r="C168" s="47" t="s">
        <v>259</v>
      </c>
      <c r="D168" s="35">
        <v>25025</v>
      </c>
      <c r="E168" s="35">
        <v>600</v>
      </c>
      <c r="F168" s="35"/>
    </row>
    <row r="169" spans="1:6" x14ac:dyDescent="0.25">
      <c r="A169" s="35">
        <v>1383769017</v>
      </c>
      <c r="B169" s="2" t="s">
        <v>110</v>
      </c>
      <c r="C169" s="47" t="s">
        <v>260</v>
      </c>
      <c r="D169" s="35">
        <v>72293</v>
      </c>
      <c r="E169" s="35">
        <v>1700</v>
      </c>
      <c r="F169" s="35"/>
    </row>
    <row r="170" spans="1:6" x14ac:dyDescent="0.25">
      <c r="A170" s="35">
        <v>1383769016</v>
      </c>
      <c r="B170" s="2" t="s">
        <v>187</v>
      </c>
      <c r="C170" s="47" t="s">
        <v>261</v>
      </c>
      <c r="D170" s="35">
        <v>29575</v>
      </c>
      <c r="E170" s="35">
        <v>700</v>
      </c>
      <c r="F170" s="35"/>
    </row>
    <row r="171" spans="1:6" x14ac:dyDescent="0.25">
      <c r="A171" s="35">
        <v>1383769015</v>
      </c>
      <c r="B171" s="2" t="s">
        <v>187</v>
      </c>
      <c r="C171" s="47" t="s">
        <v>262</v>
      </c>
      <c r="D171" s="35">
        <v>27867</v>
      </c>
      <c r="E171" s="35">
        <v>700</v>
      </c>
      <c r="F171" s="35"/>
    </row>
    <row r="172" spans="1:6" x14ac:dyDescent="0.25">
      <c r="A172" s="35">
        <v>1383769014</v>
      </c>
      <c r="B172" s="2" t="s">
        <v>211</v>
      </c>
      <c r="C172" s="50">
        <v>39632</v>
      </c>
      <c r="D172" s="35">
        <v>19980</v>
      </c>
      <c r="E172" s="35">
        <v>500</v>
      </c>
      <c r="F172" s="35"/>
    </row>
    <row r="173" spans="1:6" x14ac:dyDescent="0.25">
      <c r="A173" s="35">
        <v>1383769013</v>
      </c>
      <c r="B173" s="2" t="s">
        <v>211</v>
      </c>
      <c r="C173" s="47" t="s">
        <v>263</v>
      </c>
      <c r="D173" s="35">
        <v>19860</v>
      </c>
      <c r="E173" s="35">
        <v>500</v>
      </c>
      <c r="F173" s="35"/>
    </row>
    <row r="174" spans="1:6" x14ac:dyDescent="0.25">
      <c r="A174" s="35">
        <v>1383769012</v>
      </c>
      <c r="B174" s="2" t="s">
        <v>110</v>
      </c>
      <c r="C174" s="47" t="s">
        <v>264</v>
      </c>
      <c r="D174" s="35">
        <v>11763</v>
      </c>
      <c r="E174" s="35">
        <v>300</v>
      </c>
      <c r="F174" s="35"/>
    </row>
    <row r="175" spans="1:6" x14ac:dyDescent="0.25">
      <c r="A175" s="35">
        <v>1383769011</v>
      </c>
      <c r="B175" s="2" t="s">
        <v>211</v>
      </c>
      <c r="C175" s="50">
        <v>39093</v>
      </c>
      <c r="D175" s="35">
        <v>11652</v>
      </c>
      <c r="E175" s="35">
        <v>300</v>
      </c>
      <c r="F175" s="35"/>
    </row>
    <row r="176" spans="1:6" x14ac:dyDescent="0.25">
      <c r="A176" s="35">
        <v>1383769010</v>
      </c>
      <c r="B176" s="2" t="s">
        <v>110</v>
      </c>
      <c r="C176" s="47" t="s">
        <v>265</v>
      </c>
      <c r="D176" s="35">
        <v>3920</v>
      </c>
      <c r="E176" s="35">
        <v>100</v>
      </c>
      <c r="F176" s="35" t="s">
        <v>266</v>
      </c>
    </row>
    <row r="177" spans="1:6" x14ac:dyDescent="0.25">
      <c r="A177" s="35">
        <v>1383769009</v>
      </c>
      <c r="B177" s="2" t="s">
        <v>214</v>
      </c>
      <c r="C177" s="50">
        <v>39333</v>
      </c>
      <c r="D177" s="35">
        <v>4066</v>
      </c>
      <c r="E177" s="35">
        <v>100</v>
      </c>
      <c r="F177" s="35"/>
    </row>
    <row r="178" spans="1:6" x14ac:dyDescent="0.25">
      <c r="A178" s="35">
        <v>1383769008</v>
      </c>
      <c r="B178" s="2" t="s">
        <v>211</v>
      </c>
      <c r="C178" s="47" t="s">
        <v>267</v>
      </c>
      <c r="D178" s="35">
        <v>40390</v>
      </c>
      <c r="E178" s="35">
        <v>1000</v>
      </c>
      <c r="F178" s="35" t="s">
        <v>268</v>
      </c>
    </row>
    <row r="179" spans="1:6" x14ac:dyDescent="0.25">
      <c r="A179" s="35">
        <v>1383769007</v>
      </c>
      <c r="B179" s="2" t="s">
        <v>211</v>
      </c>
      <c r="C179" s="50">
        <v>39002</v>
      </c>
      <c r="D179" s="35">
        <v>53136</v>
      </c>
      <c r="E179" s="35">
        <v>1200</v>
      </c>
      <c r="F179" s="35" t="s">
        <v>268</v>
      </c>
    </row>
    <row r="180" spans="1:6" x14ac:dyDescent="0.25">
      <c r="A180" s="35">
        <v>1383769006</v>
      </c>
      <c r="B180" s="2" t="s">
        <v>211</v>
      </c>
      <c r="C180" s="47" t="s">
        <v>269</v>
      </c>
      <c r="D180" s="35">
        <v>17784</v>
      </c>
      <c r="E180" s="35">
        <v>400</v>
      </c>
      <c r="F180" s="35"/>
    </row>
    <row r="181" spans="1:6" x14ac:dyDescent="0.25">
      <c r="A181" s="35">
        <v>1383769005</v>
      </c>
      <c r="B181" s="2" t="s">
        <v>187</v>
      </c>
      <c r="C181" s="47" t="s">
        <v>270</v>
      </c>
      <c r="D181" s="35">
        <v>9056</v>
      </c>
      <c r="E181" s="35">
        <v>200</v>
      </c>
      <c r="F181" s="35"/>
    </row>
    <row r="182" spans="1:6" x14ac:dyDescent="0.25">
      <c r="A182" s="35">
        <v>1383769004</v>
      </c>
      <c r="B182" s="2" t="s">
        <v>211</v>
      </c>
      <c r="C182" s="47" t="s">
        <v>270</v>
      </c>
      <c r="D182" s="35">
        <v>9056</v>
      </c>
      <c r="E182" s="35">
        <v>200</v>
      </c>
      <c r="F182" s="35"/>
    </row>
    <row r="183" spans="1:6" x14ac:dyDescent="0.25">
      <c r="A183" s="35">
        <v>1383769003</v>
      </c>
      <c r="B183" s="2" t="s">
        <v>211</v>
      </c>
      <c r="C183" s="47" t="s">
        <v>271</v>
      </c>
      <c r="D183" s="35">
        <v>9098</v>
      </c>
      <c r="E183" s="35">
        <v>200</v>
      </c>
      <c r="F183" s="35"/>
    </row>
    <row r="184" spans="1:6" x14ac:dyDescent="0.25">
      <c r="A184" s="35">
        <v>1383769002</v>
      </c>
      <c r="B184" s="41" t="s">
        <v>211</v>
      </c>
      <c r="C184" s="47" t="s">
        <v>272</v>
      </c>
      <c r="D184" s="35">
        <v>9220</v>
      </c>
      <c r="E184" s="35">
        <v>200</v>
      </c>
      <c r="F184" s="35"/>
    </row>
    <row r="185" spans="1:6" x14ac:dyDescent="0.25">
      <c r="A185" s="35">
        <v>1383769001</v>
      </c>
      <c r="B185" s="41" t="s">
        <v>187</v>
      </c>
      <c r="C185" s="13">
        <v>39058</v>
      </c>
      <c r="D185" s="35"/>
      <c r="E185" s="35">
        <v>20</v>
      </c>
    </row>
  </sheetData>
  <autoFilter ref="A4:H4"/>
  <pageMargins left="0.7" right="0.7" top="0.75" bottom="0.75" header="0.3" footer="0.3"/>
  <pageSetup orientation="portrait" horizontalDpi="360" verticalDpi="36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8" sqref="H8"/>
    </sheetView>
  </sheetViews>
  <sheetFormatPr defaultRowHeight="12.5" x14ac:dyDescent="0.25"/>
  <cols>
    <col min="1" max="1" width="19.90625" customWidth="1"/>
    <col min="2" max="2" width="13.453125" bestFit="1" customWidth="1"/>
    <col min="3" max="3" width="14.54296875" bestFit="1" customWidth="1"/>
    <col min="6" max="6" width="18.08984375" customWidth="1"/>
    <col min="7" max="7" width="13.453125" bestFit="1" customWidth="1"/>
    <col min="8" max="8" width="17.36328125" bestFit="1" customWidth="1"/>
  </cols>
  <sheetData>
    <row r="1" spans="1:10" ht="13" x14ac:dyDescent="0.3">
      <c r="A1" s="79" t="s">
        <v>273</v>
      </c>
      <c r="B1" s="79"/>
      <c r="C1" s="79"/>
      <c r="D1" s="79"/>
      <c r="E1" s="35"/>
      <c r="F1" s="79" t="s">
        <v>274</v>
      </c>
      <c r="G1" s="79"/>
      <c r="H1" s="79"/>
      <c r="I1" s="79"/>
      <c r="J1" s="35"/>
    </row>
    <row r="2" spans="1:10" s="35" customFormat="1" ht="13" x14ac:dyDescent="0.3">
      <c r="A2" s="59"/>
      <c r="B2" s="59"/>
      <c r="C2" s="59"/>
      <c r="D2" s="59"/>
      <c r="F2" s="59"/>
      <c r="G2" s="59"/>
      <c r="H2" s="59"/>
      <c r="I2" s="59"/>
    </row>
    <row r="3" spans="1:10" s="35" customFormat="1" ht="13" x14ac:dyDescent="0.3">
      <c r="A3" s="59" t="s">
        <v>275</v>
      </c>
      <c r="B3" s="59"/>
      <c r="D3" s="35">
        <f>SUM(D6:D8)</f>
        <v>76</v>
      </c>
      <c r="F3" s="59"/>
      <c r="G3" s="59"/>
      <c r="H3" s="59"/>
      <c r="I3" s="52">
        <f>SUM(I6:I8)</f>
        <v>317</v>
      </c>
    </row>
    <row r="4" spans="1:10" s="35" customFormat="1" ht="13" x14ac:dyDescent="0.3">
      <c r="A4" s="59" t="s">
        <v>276</v>
      </c>
      <c r="B4" s="59"/>
      <c r="F4" s="59"/>
      <c r="G4" s="59"/>
      <c r="H4" s="59"/>
      <c r="I4" s="59"/>
    </row>
    <row r="5" spans="1:10" ht="13" x14ac:dyDescent="0.3">
      <c r="A5" s="4" t="s">
        <v>277</v>
      </c>
      <c r="B5" s="4" t="s">
        <v>278</v>
      </c>
      <c r="C5" s="4" t="s">
        <v>279</v>
      </c>
      <c r="D5" s="4" t="s">
        <v>280</v>
      </c>
      <c r="E5" s="4" t="s">
        <v>281</v>
      </c>
      <c r="F5" s="4" t="s">
        <v>277</v>
      </c>
      <c r="G5" s="4" t="s">
        <v>278</v>
      </c>
      <c r="H5" s="4" t="s">
        <v>279</v>
      </c>
      <c r="I5" s="4" t="s">
        <v>280</v>
      </c>
      <c r="J5" s="4" t="s">
        <v>281</v>
      </c>
    </row>
    <row r="6" spans="1:10" x14ac:dyDescent="0.25">
      <c r="A6" s="13">
        <v>41131</v>
      </c>
      <c r="B6" s="13">
        <v>41145</v>
      </c>
      <c r="C6" s="35" t="s">
        <v>282</v>
      </c>
      <c r="D6" s="35">
        <f>B6-A6</f>
        <v>14</v>
      </c>
      <c r="E6" s="35"/>
      <c r="F6" s="13">
        <v>41131</v>
      </c>
      <c r="G6" s="13">
        <v>41236</v>
      </c>
      <c r="H6" s="35" t="s">
        <v>283</v>
      </c>
      <c r="I6" s="35">
        <f>G6-F6</f>
        <v>105</v>
      </c>
      <c r="J6" s="35">
        <v>3.5</v>
      </c>
    </row>
    <row r="7" spans="1:10" x14ac:dyDescent="0.25">
      <c r="A7" s="13">
        <v>41222</v>
      </c>
      <c r="B7" s="13">
        <v>41236</v>
      </c>
      <c r="C7" s="35" t="s">
        <v>284</v>
      </c>
      <c r="D7" s="35">
        <f>B7-A7</f>
        <v>14</v>
      </c>
      <c r="E7" s="35"/>
      <c r="F7" s="13">
        <v>41302</v>
      </c>
      <c r="G7" s="13">
        <v>41326</v>
      </c>
      <c r="H7" s="35" t="s">
        <v>284</v>
      </c>
      <c r="I7" s="35">
        <f>G7-F7</f>
        <v>24</v>
      </c>
      <c r="J7" s="35">
        <v>1</v>
      </c>
    </row>
    <row r="8" spans="1:10" x14ac:dyDescent="0.25">
      <c r="A8" s="13">
        <v>41734</v>
      </c>
      <c r="B8" s="13">
        <v>41782</v>
      </c>
      <c r="C8" s="35" t="s">
        <v>285</v>
      </c>
      <c r="D8" s="35">
        <f>B8-A8</f>
        <v>48</v>
      </c>
      <c r="E8" s="35"/>
      <c r="F8" s="13">
        <v>41680</v>
      </c>
      <c r="G8" s="13">
        <v>41868</v>
      </c>
      <c r="H8" s="35" t="s">
        <v>286</v>
      </c>
      <c r="I8" s="35">
        <f>G8-F8</f>
        <v>188</v>
      </c>
      <c r="J8" s="35">
        <v>6.7</v>
      </c>
    </row>
  </sheetData>
  <mergeCells count="2">
    <mergeCell ref="A1:D1"/>
    <mergeCell ref="F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2010-01-31T20:32:19Z</outs:dateTime>
      <outs:isPinned>true</outs:isPinned>
    </outs:relatedDate>
    <outs:relatedDate>
      <outs:type>2</outs:type>
      <outs:displayName>Created</outs:displayName>
      <outs:dateTime>1996-10-14T23:33:28Z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gurunathan6378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Gurunathan Thangavelu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3AD69FC-150E-4E9B-A854-656C7CEFE785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Bank</vt:lpstr>
      <vt:lpstr>Saberi Wedding Expenses</vt:lpstr>
      <vt:lpstr>Credit Card</vt:lpstr>
      <vt:lpstr>DCU</vt:lpstr>
      <vt:lpstr>Citi Bank</vt:lpstr>
      <vt:lpstr>Costco Citi</vt:lpstr>
      <vt:lpstr>Sony</vt:lpstr>
      <vt:lpstr>Indian Land</vt:lpstr>
      <vt:lpstr>Mortgage</vt:lpstr>
      <vt:lpstr>Money To India</vt:lpstr>
      <vt:lpstr>Migration Status AfterGC</vt:lpstr>
      <vt:lpstr>'Credit Card'!CCA_details</vt:lpstr>
      <vt:lpstr>'Credit Card'!onh_sign_off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gurunathan6378</dc:creator>
  <cp:keywords/>
  <dc:description/>
  <cp:lastModifiedBy>Thangavelu, Gurunathan</cp:lastModifiedBy>
  <cp:revision/>
  <cp:lastPrinted>2017-08-01T04:21:18Z</cp:lastPrinted>
  <dcterms:created xsi:type="dcterms:W3CDTF">2017-07-12T04:43:26Z</dcterms:created>
  <dcterms:modified xsi:type="dcterms:W3CDTF">2017-10-11T04:13:16Z</dcterms:modified>
  <cp:category/>
  <cp:contentStatus/>
</cp:coreProperties>
</file>